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eimes\Documents\Bentonville\"/>
    </mc:Choice>
  </mc:AlternateContent>
  <xr:revisionPtr revIDLastSave="0" documentId="13_ncr:1_{ED9F668C-403A-4126-AD6B-5BB9361695F2}" xr6:coauthVersionLast="47" xr6:coauthVersionMax="47" xr10:uidLastSave="{00000000-0000-0000-0000-000000000000}"/>
  <bookViews>
    <workbookView xWindow="-28920" yWindow="-105" windowWidth="29040" windowHeight="15720" tabRatio="500" activeTab="1" xr2:uid="{00000000-000D-0000-FFFF-FFFF00000000}"/>
  </bookViews>
  <sheets>
    <sheet name="Inlets" sheetId="1" r:id="rId1"/>
    <sheet name="Pipes" sheetId="2" r:id="rId2"/>
  </sheets>
  <definedNames>
    <definedName name="_xlnm._FilterDatabase" localSheetId="1" hidden="1">Pipes!$A$1:$U$64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2" i="2"/>
  <c r="G3" i="2"/>
  <c r="G4" i="2"/>
  <c r="G5" i="2"/>
  <c r="G8" i="2"/>
  <c r="G9" i="2"/>
  <c r="G11" i="2"/>
  <c r="G12" i="2"/>
  <c r="G13" i="2"/>
  <c r="G14" i="2"/>
  <c r="G15" i="2"/>
  <c r="G16" i="2"/>
  <c r="G17" i="2"/>
  <c r="G18" i="2"/>
  <c r="G19" i="2"/>
  <c r="G21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4" i="2"/>
  <c r="G45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2" i="2"/>
  <c r="K23" i="2"/>
  <c r="M23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50" i="2"/>
  <c r="P48" i="2"/>
  <c r="P39" i="2"/>
  <c r="P40" i="2"/>
  <c r="P41" i="2"/>
  <c r="P42" i="2"/>
  <c r="P43" i="2"/>
  <c r="P44" i="2"/>
  <c r="P45" i="2"/>
  <c r="P46" i="2"/>
  <c r="P38" i="2"/>
  <c r="P36" i="2"/>
  <c r="P35" i="2"/>
  <c r="P32" i="2"/>
  <c r="P33" i="2"/>
  <c r="P31" i="2"/>
  <c r="L31" i="2"/>
  <c r="P23" i="2"/>
  <c r="P24" i="2"/>
  <c r="P25" i="2"/>
  <c r="P26" i="2"/>
  <c r="P27" i="2"/>
  <c r="P28" i="2"/>
  <c r="P29" i="2"/>
  <c r="P30" i="2"/>
  <c r="P2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2" i="2"/>
  <c r="L3" i="2"/>
  <c r="L4" i="2"/>
  <c r="L5" i="2"/>
  <c r="L6" i="2"/>
  <c r="L7" i="2"/>
  <c r="L8" i="2"/>
  <c r="L9" i="2"/>
  <c r="L15" i="2"/>
  <c r="L16" i="2"/>
  <c r="L17" i="2"/>
  <c r="L18" i="2"/>
  <c r="L19" i="2"/>
  <c r="L24" i="2"/>
  <c r="L25" i="2"/>
  <c r="L29" i="2"/>
  <c r="L30" i="2"/>
  <c r="L32" i="2"/>
  <c r="L33" i="2"/>
  <c r="L34" i="2"/>
  <c r="L35" i="2"/>
  <c r="L36" i="2"/>
  <c r="L37" i="2"/>
  <c r="L40" i="2"/>
  <c r="L41" i="2"/>
  <c r="L42" i="2"/>
  <c r="L45" i="2"/>
  <c r="L48" i="2"/>
  <c r="L50" i="2"/>
  <c r="L51" i="2"/>
  <c r="L52" i="2"/>
  <c r="L55" i="2"/>
  <c r="L56" i="2"/>
  <c r="L58" i="2"/>
  <c r="L61" i="2"/>
  <c r="L62" i="2"/>
  <c r="L63" i="2"/>
  <c r="L64" i="2"/>
  <c r="M3" i="2"/>
  <c r="M4" i="2"/>
  <c r="M5" i="2"/>
  <c r="M6" i="2"/>
  <c r="M7" i="2"/>
  <c r="M8" i="2"/>
  <c r="M9" i="2"/>
  <c r="M10" i="2"/>
  <c r="L10" i="2" s="1"/>
  <c r="M11" i="2"/>
  <c r="L11" i="2" s="1"/>
  <c r="M12" i="2"/>
  <c r="M13" i="2"/>
  <c r="L13" i="2" s="1"/>
  <c r="M14" i="2"/>
  <c r="L14" i="2" s="1"/>
  <c r="M15" i="2"/>
  <c r="M16" i="2"/>
  <c r="M17" i="2"/>
  <c r="M18" i="2"/>
  <c r="M19" i="2"/>
  <c r="M20" i="2"/>
  <c r="L20" i="2" s="1"/>
  <c r="M21" i="2"/>
  <c r="L21" i="2" s="1"/>
  <c r="M22" i="2"/>
  <c r="M24" i="2"/>
  <c r="M25" i="2"/>
  <c r="M26" i="2"/>
  <c r="L26" i="2" s="1"/>
  <c r="M27" i="2"/>
  <c r="L27" i="2" s="1"/>
  <c r="M28" i="2"/>
  <c r="M29" i="2"/>
  <c r="M30" i="2"/>
  <c r="M31" i="2"/>
  <c r="M32" i="2"/>
  <c r="M33" i="2"/>
  <c r="M34" i="2"/>
  <c r="M35" i="2"/>
  <c r="M36" i="2"/>
  <c r="M37" i="2"/>
  <c r="M38" i="2"/>
  <c r="L38" i="2" s="1"/>
  <c r="M39" i="2"/>
  <c r="L39" i="2" s="1"/>
  <c r="M40" i="2"/>
  <c r="M41" i="2"/>
  <c r="M42" i="2"/>
  <c r="M43" i="2"/>
  <c r="L43" i="2" s="1"/>
  <c r="M44" i="2"/>
  <c r="M45" i="2"/>
  <c r="M46" i="2"/>
  <c r="L46" i="2" s="1"/>
  <c r="M47" i="2"/>
  <c r="L47" i="2" s="1"/>
  <c r="M48" i="2"/>
  <c r="M49" i="2"/>
  <c r="L49" i="2" s="1"/>
  <c r="M50" i="2"/>
  <c r="M51" i="2"/>
  <c r="M52" i="2"/>
  <c r="M53" i="2"/>
  <c r="L53" i="2" s="1"/>
  <c r="M54" i="2"/>
  <c r="M55" i="2"/>
  <c r="M56" i="2"/>
  <c r="M57" i="2"/>
  <c r="M58" i="2"/>
  <c r="M59" i="2"/>
  <c r="M60" i="2"/>
  <c r="M61" i="2"/>
  <c r="M62" i="2"/>
  <c r="M63" i="2"/>
  <c r="M64" i="2"/>
  <c r="M2" i="2"/>
  <c r="K3" i="2"/>
  <c r="K4" i="2"/>
  <c r="K5" i="2"/>
  <c r="K6" i="2"/>
  <c r="K7" i="2"/>
  <c r="K8" i="2"/>
  <c r="K9" i="2"/>
  <c r="K10" i="2"/>
  <c r="K11" i="2"/>
  <c r="K12" i="2"/>
  <c r="L12" i="2" s="1"/>
  <c r="K13" i="2"/>
  <c r="K14" i="2"/>
  <c r="K15" i="2"/>
  <c r="K16" i="2"/>
  <c r="K17" i="2"/>
  <c r="K18" i="2"/>
  <c r="K19" i="2"/>
  <c r="K21" i="2"/>
  <c r="L22" i="2"/>
  <c r="K24" i="2"/>
  <c r="K25" i="2"/>
  <c r="K26" i="2"/>
  <c r="K27" i="2"/>
  <c r="K28" i="2"/>
  <c r="L28" i="2" s="1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L44" i="2" s="1"/>
  <c r="K45" i="2"/>
  <c r="K47" i="2"/>
  <c r="K48" i="2"/>
  <c r="K49" i="2"/>
  <c r="K50" i="2"/>
  <c r="K51" i="2"/>
  <c r="K52" i="2"/>
  <c r="K53" i="2"/>
  <c r="K54" i="2"/>
  <c r="L54" i="2" s="1"/>
  <c r="K55" i="2"/>
  <c r="K56" i="2"/>
  <c r="K57" i="2"/>
  <c r="L57" i="2" s="1"/>
  <c r="K58" i="2"/>
  <c r="K59" i="2"/>
  <c r="K60" i="2"/>
  <c r="L60" i="2" s="1"/>
  <c r="K61" i="2"/>
  <c r="K62" i="2"/>
  <c r="K63" i="2"/>
  <c r="K64" i="2"/>
  <c r="K2" i="2"/>
  <c r="L2" i="2" s="1"/>
  <c r="L59" i="2" l="1"/>
  <c r="L23" i="2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<sst xmlns="http://schemas.openxmlformats.org/spreadsheetml/2006/main" count="706" uniqueCount="124">
  <si>
    <t>Station</t>
  </si>
  <si>
    <t>Type</t>
  </si>
  <si>
    <t>Location</t>
  </si>
  <si>
    <t>Bypass</t>
  </si>
  <si>
    <t>Curb Length</t>
  </si>
  <si>
    <t>Curb Height</t>
  </si>
  <si>
    <t>Grate Area</t>
  </si>
  <si>
    <t>Grate Width</t>
  </si>
  <si>
    <t>Grate Length</t>
  </si>
  <si>
    <t>Capacity</t>
  </si>
  <si>
    <t>Sx</t>
  </si>
  <si>
    <t>Sw</t>
  </si>
  <si>
    <t>Depression</t>
  </si>
  <si>
    <t>Gutter Width</t>
  </si>
  <si>
    <t>Longitudinal Slope</t>
  </si>
  <si>
    <t>n Value</t>
  </si>
  <si>
    <t>Structure Shape</t>
  </si>
  <si>
    <t>Structure Length</t>
  </si>
  <si>
    <t>Structure Width</t>
  </si>
  <si>
    <t>Standard Detail</t>
  </si>
  <si>
    <t>111+64 LT.</t>
  </si>
  <si>
    <t>Curb Inlet</t>
  </si>
  <si>
    <t>Circular</t>
  </si>
  <si>
    <t>111+65 RT.</t>
  </si>
  <si>
    <t>112+35 LT.</t>
  </si>
  <si>
    <t>112+35 RT.</t>
  </si>
  <si>
    <t>MO</t>
  </si>
  <si>
    <t>113+00 RT.</t>
  </si>
  <si>
    <t>113+78 LT.</t>
  </si>
  <si>
    <t>Grate Inlet</t>
  </si>
  <si>
    <t>Rectangular</t>
  </si>
  <si>
    <t>ST</t>
  </si>
  <si>
    <t>115+24 LT.</t>
  </si>
  <si>
    <t>115+42 LT.</t>
  </si>
  <si>
    <t>E</t>
  </si>
  <si>
    <t>115+66 LT.</t>
  </si>
  <si>
    <t>115+90 RT.</t>
  </si>
  <si>
    <t>116+00 RT.</t>
  </si>
  <si>
    <t>116+25 LT.</t>
  </si>
  <si>
    <t>117+85 RT.</t>
  </si>
  <si>
    <t>118+25 LT.</t>
  </si>
  <si>
    <t>120+50 LT.</t>
  </si>
  <si>
    <t>120+50 RT.</t>
  </si>
  <si>
    <t>122+11 RT.</t>
  </si>
  <si>
    <t>124+50 LT.</t>
  </si>
  <si>
    <t>200+19 LT.</t>
  </si>
  <si>
    <t>200+19 RT.</t>
  </si>
  <si>
    <t>203+48 LT.</t>
  </si>
  <si>
    <t>C</t>
  </si>
  <si>
    <t>203+48 RT.</t>
  </si>
  <si>
    <t>204+09 RT.</t>
  </si>
  <si>
    <t>204+20 LT.</t>
  </si>
  <si>
    <t>204+30 LT.</t>
  </si>
  <si>
    <t>204+62 LT.</t>
  </si>
  <si>
    <t>204+67 RT.</t>
  </si>
  <si>
    <t>206+53 RT.</t>
  </si>
  <si>
    <t>206+55 LT.</t>
  </si>
  <si>
    <t>207+99 LT.</t>
  </si>
  <si>
    <t>208+17 RT.</t>
  </si>
  <si>
    <t>208+22 RT.</t>
  </si>
  <si>
    <t>208+65 RT.</t>
  </si>
  <si>
    <t>208+98 LT.</t>
  </si>
  <si>
    <t>209+02 LT.</t>
  </si>
  <si>
    <t>209+81 LT.</t>
  </si>
  <si>
    <t>210+00 LT.</t>
  </si>
  <si>
    <t>210+51 LT.</t>
  </si>
  <si>
    <t>210+60 RT.</t>
  </si>
  <si>
    <t>211+00 LT.</t>
  </si>
  <si>
    <t>212+60 RT.</t>
  </si>
  <si>
    <t>213+00 LT.</t>
  </si>
  <si>
    <t>214+50 LT.</t>
  </si>
  <si>
    <t>214+60 RT.</t>
  </si>
  <si>
    <t>215+00 LT.</t>
  </si>
  <si>
    <t>216+90 RT.</t>
  </si>
  <si>
    <t>218+00 LT.</t>
  </si>
  <si>
    <t>218+03 LT.</t>
  </si>
  <si>
    <t>218+06 LT.</t>
  </si>
  <si>
    <t>218+06 RT.</t>
  </si>
  <si>
    <t>219+10 LT.</t>
  </si>
  <si>
    <t>219+10 RT.</t>
  </si>
  <si>
    <t>219+20 LT.</t>
  </si>
  <si>
    <t>219+20 RT.</t>
  </si>
  <si>
    <t>219+30 LT.</t>
  </si>
  <si>
    <t>219+30 RT.</t>
  </si>
  <si>
    <t>220+06 RT.</t>
  </si>
  <si>
    <t>220+08 LT.</t>
  </si>
  <si>
    <t>220+81 LT.</t>
  </si>
  <si>
    <t>413+00 LT.</t>
  </si>
  <si>
    <t>413+25 LT.</t>
  </si>
  <si>
    <t>413+36 @ 11' LT.</t>
  </si>
  <si>
    <t>413+36 @ 23' LT.</t>
  </si>
  <si>
    <t>413+36 RT.</t>
  </si>
  <si>
    <t>Upstream</t>
  </si>
  <si>
    <t>Downstream</t>
  </si>
  <si>
    <t>Length</t>
  </si>
  <si>
    <t>Angle</t>
  </si>
  <si>
    <t>Q</t>
  </si>
  <si>
    <t>Drainage Area</t>
  </si>
  <si>
    <t>Runoff Coefficient</t>
  </si>
  <si>
    <t>Method</t>
  </si>
  <si>
    <t>Time of Concentration</t>
  </si>
  <si>
    <t>Invert Downstream</t>
  </si>
  <si>
    <t>Slope</t>
  </si>
  <si>
    <t>Invert Upstream</t>
  </si>
  <si>
    <t>Rise</t>
  </si>
  <si>
    <t>Span</t>
  </si>
  <si>
    <t>Barrels</t>
  </si>
  <si>
    <t>J-Loss</t>
  </si>
  <si>
    <t>Rim Downstream</t>
  </si>
  <si>
    <t>Rim Upstream</t>
  </si>
  <si>
    <t>Outfall</t>
  </si>
  <si>
    <t>Arch</t>
  </si>
  <si>
    <t>206+55 LT</t>
  </si>
  <si>
    <t>Manhole</t>
  </si>
  <si>
    <t>413+36 23' LT.</t>
  </si>
  <si>
    <t>sag</t>
  </si>
  <si>
    <t>on grade</t>
  </si>
  <si>
    <t>211+00 LT</t>
  </si>
  <si>
    <t>213+00 LT</t>
  </si>
  <si>
    <t>117+85 LT.</t>
  </si>
  <si>
    <t>Invert</t>
  </si>
  <si>
    <t>Rim</t>
  </si>
  <si>
    <t>115+66 RT.</t>
  </si>
  <si>
    <t>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</si>
</sst>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Jacobs Chron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zoomScaleNormal="100" workbookViewId="0">
      <selection activeCell="A58" sqref="A58"/>
    </sheetView>
  </sheetViews>
  <sheetFormatPr defaultColWidth="8.77734375" defaultRowHeight="15" x14ac:dyDescent="0.25"/>
  <cols>
    <col min="1" max="1" width="26.44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120</v>
      </c>
      <c r="V1" t="s">
        <v>121</v>
      </c>
    </row>
    <row r="2" spans="1:22" x14ac:dyDescent="0.25">
      <c r="A2" t="s">
        <v>20</v>
      </c>
      <c r="B2" t="s">
        <v>21</v>
      </c>
      <c r="C2" t="s">
        <v>116</v>
      </c>
      <c r="E2">
        <v>0</v>
      </c>
      <c r="F2">
        <v>4</v>
      </c>
      <c r="G2">
        <f t="shared" ref="G2:G28" si="0">H2*I2</f>
        <v>0</v>
      </c>
      <c r="H2">
        <v>0</v>
      </c>
      <c r="I2">
        <v>0</v>
      </c>
      <c r="K2">
        <v>0.02</v>
      </c>
      <c r="L2">
        <v>0.05</v>
      </c>
      <c r="M2">
        <v>2</v>
      </c>
      <c r="N2">
        <v>1</v>
      </c>
      <c r="O2">
        <v>7.4999999999999997E-3</v>
      </c>
      <c r="P2">
        <v>1.2999999999999999E-2</v>
      </c>
      <c r="Q2" t="s">
        <v>22</v>
      </c>
      <c r="R2">
        <v>3</v>
      </c>
      <c r="S2">
        <v>3</v>
      </c>
      <c r="T2">
        <v>0</v>
      </c>
      <c r="U2">
        <v>1275</v>
      </c>
      <c r="V2">
        <v>1280</v>
      </c>
    </row>
    <row r="3" spans="1:22" x14ac:dyDescent="0.25">
      <c r="A3" t="s">
        <v>23</v>
      </c>
      <c r="B3" t="s">
        <v>21</v>
      </c>
      <c r="C3" t="s">
        <v>116</v>
      </c>
      <c r="E3">
        <v>0</v>
      </c>
      <c r="F3">
        <v>4</v>
      </c>
      <c r="G3">
        <f t="shared" si="0"/>
        <v>0</v>
      </c>
      <c r="H3">
        <v>0</v>
      </c>
      <c r="I3">
        <v>0</v>
      </c>
      <c r="K3">
        <v>0.02</v>
      </c>
      <c r="L3">
        <v>0.05</v>
      </c>
      <c r="M3">
        <v>2</v>
      </c>
      <c r="N3">
        <v>1</v>
      </c>
      <c r="O3">
        <v>7.4999999999999997E-3</v>
      </c>
      <c r="P3">
        <v>1.2999999999999999E-2</v>
      </c>
      <c r="Q3" t="s">
        <v>22</v>
      </c>
      <c r="R3">
        <v>3</v>
      </c>
      <c r="S3">
        <v>3</v>
      </c>
      <c r="T3">
        <v>0</v>
      </c>
      <c r="U3">
        <v>1274.47</v>
      </c>
      <c r="V3">
        <v>1279.07</v>
      </c>
    </row>
    <row r="4" spans="1:22" x14ac:dyDescent="0.25">
      <c r="A4" t="s">
        <v>24</v>
      </c>
      <c r="B4" t="s">
        <v>21</v>
      </c>
      <c r="C4" t="s">
        <v>116</v>
      </c>
      <c r="D4" t="s">
        <v>20</v>
      </c>
      <c r="E4">
        <v>0</v>
      </c>
      <c r="F4">
        <v>4</v>
      </c>
      <c r="G4">
        <f t="shared" si="0"/>
        <v>0</v>
      </c>
      <c r="H4">
        <v>0</v>
      </c>
      <c r="I4">
        <v>0</v>
      </c>
      <c r="K4">
        <v>0.02</v>
      </c>
      <c r="L4">
        <v>0.05</v>
      </c>
      <c r="M4">
        <v>2</v>
      </c>
      <c r="N4">
        <v>1</v>
      </c>
      <c r="O4">
        <v>7.4999999999999997E-3</v>
      </c>
      <c r="P4">
        <v>1.2999999999999999E-2</v>
      </c>
      <c r="Q4" t="s">
        <v>22</v>
      </c>
      <c r="R4">
        <v>3</v>
      </c>
      <c r="S4">
        <v>3</v>
      </c>
      <c r="T4">
        <v>0</v>
      </c>
      <c r="U4">
        <v>1280</v>
      </c>
      <c r="V4">
        <v>1276</v>
      </c>
    </row>
    <row r="5" spans="1:22" x14ac:dyDescent="0.25">
      <c r="A5" t="s">
        <v>25</v>
      </c>
      <c r="B5" t="s">
        <v>21</v>
      </c>
      <c r="C5" t="s">
        <v>116</v>
      </c>
      <c r="D5" t="s">
        <v>23</v>
      </c>
      <c r="E5">
        <v>4</v>
      </c>
      <c r="F5">
        <v>4</v>
      </c>
      <c r="G5">
        <f t="shared" si="0"/>
        <v>0</v>
      </c>
      <c r="H5">
        <v>0</v>
      </c>
      <c r="I5">
        <v>0</v>
      </c>
      <c r="K5">
        <v>0.02</v>
      </c>
      <c r="L5">
        <v>0.05</v>
      </c>
      <c r="M5">
        <v>2</v>
      </c>
      <c r="N5">
        <v>1</v>
      </c>
      <c r="O5">
        <v>7.4999999999999997E-3</v>
      </c>
      <c r="P5">
        <v>1.2999999999999999E-2</v>
      </c>
      <c r="Q5" t="s">
        <v>22</v>
      </c>
      <c r="R5">
        <v>4</v>
      </c>
      <c r="S5">
        <v>0</v>
      </c>
      <c r="T5" t="s">
        <v>26</v>
      </c>
      <c r="U5">
        <v>1275.1400000000001</v>
      </c>
      <c r="V5">
        <v>1279.48</v>
      </c>
    </row>
    <row r="6" spans="1:22" x14ac:dyDescent="0.25">
      <c r="A6" t="s">
        <v>27</v>
      </c>
      <c r="B6" t="s">
        <v>21</v>
      </c>
      <c r="C6" t="s">
        <v>116</v>
      </c>
      <c r="D6" t="s">
        <v>25</v>
      </c>
      <c r="E6">
        <v>4</v>
      </c>
      <c r="F6">
        <v>4</v>
      </c>
      <c r="G6">
        <f t="shared" si="0"/>
        <v>0</v>
      </c>
      <c r="H6">
        <v>0</v>
      </c>
      <c r="I6">
        <v>0</v>
      </c>
      <c r="K6">
        <v>0.02</v>
      </c>
      <c r="L6">
        <v>0.05</v>
      </c>
      <c r="M6">
        <v>2</v>
      </c>
      <c r="N6">
        <v>1</v>
      </c>
      <c r="O6">
        <v>7.4999999999999997E-3</v>
      </c>
      <c r="P6">
        <v>1.2999999999999999E-2</v>
      </c>
      <c r="Q6" t="s">
        <v>22</v>
      </c>
      <c r="R6">
        <v>4</v>
      </c>
      <c r="S6">
        <v>0</v>
      </c>
      <c r="T6" t="s">
        <v>26</v>
      </c>
      <c r="U6">
        <v>1275.75</v>
      </c>
      <c r="V6">
        <v>1279.9000000000001</v>
      </c>
    </row>
    <row r="7" spans="1:22" x14ac:dyDescent="0.25">
      <c r="A7" t="s">
        <v>28</v>
      </c>
      <c r="B7" t="s">
        <v>29</v>
      </c>
      <c r="C7" t="s">
        <v>116</v>
      </c>
      <c r="D7" t="s">
        <v>24</v>
      </c>
      <c r="E7">
        <v>4</v>
      </c>
      <c r="F7">
        <v>0</v>
      </c>
      <c r="G7">
        <f t="shared" si="0"/>
        <v>6</v>
      </c>
      <c r="H7">
        <v>2</v>
      </c>
      <c r="I7">
        <v>3</v>
      </c>
      <c r="K7">
        <v>0.02</v>
      </c>
      <c r="L7">
        <v>0.05</v>
      </c>
      <c r="M7">
        <v>0</v>
      </c>
      <c r="N7">
        <v>1</v>
      </c>
      <c r="O7">
        <v>7.4999999999999997E-3</v>
      </c>
      <c r="P7">
        <v>1.2999999999999999E-2</v>
      </c>
      <c r="Q7" t="s">
        <v>30</v>
      </c>
      <c r="R7">
        <v>4</v>
      </c>
      <c r="S7">
        <v>4</v>
      </c>
      <c r="T7" t="s">
        <v>31</v>
      </c>
      <c r="U7">
        <v>1276</v>
      </c>
      <c r="V7">
        <v>1280.3900000000001</v>
      </c>
    </row>
    <row r="8" spans="1:22" x14ac:dyDescent="0.25">
      <c r="A8" t="s">
        <v>32</v>
      </c>
      <c r="B8" t="s">
        <v>21</v>
      </c>
      <c r="C8" t="s">
        <v>116</v>
      </c>
      <c r="D8" t="s">
        <v>57</v>
      </c>
      <c r="E8">
        <v>12</v>
      </c>
      <c r="F8">
        <v>4</v>
      </c>
      <c r="G8">
        <f t="shared" si="0"/>
        <v>0</v>
      </c>
      <c r="H8">
        <v>0</v>
      </c>
      <c r="I8">
        <v>0</v>
      </c>
      <c r="K8">
        <v>0.02</v>
      </c>
      <c r="L8">
        <v>0.05</v>
      </c>
      <c r="M8">
        <v>2</v>
      </c>
      <c r="N8">
        <v>1</v>
      </c>
      <c r="O8">
        <v>1.2200000000000001E-2</v>
      </c>
      <c r="P8">
        <v>1.2999999999999999E-2</v>
      </c>
      <c r="Q8" t="s">
        <v>22</v>
      </c>
      <c r="R8">
        <v>4</v>
      </c>
      <c r="S8">
        <v>0</v>
      </c>
      <c r="T8" t="s">
        <v>26</v>
      </c>
      <c r="U8">
        <v>1274.0999999999999</v>
      </c>
      <c r="V8">
        <v>1279.6300000000001</v>
      </c>
    </row>
    <row r="9" spans="1:22" x14ac:dyDescent="0.25">
      <c r="A9" t="s">
        <v>33</v>
      </c>
      <c r="B9" t="s">
        <v>29</v>
      </c>
      <c r="C9" t="s">
        <v>115</v>
      </c>
      <c r="E9">
        <v>4</v>
      </c>
      <c r="F9">
        <v>0</v>
      </c>
      <c r="G9">
        <f t="shared" si="0"/>
        <v>6</v>
      </c>
      <c r="H9">
        <v>2</v>
      </c>
      <c r="I9">
        <v>3</v>
      </c>
      <c r="K9">
        <v>0.02</v>
      </c>
      <c r="L9">
        <v>0.05</v>
      </c>
      <c r="M9">
        <v>0</v>
      </c>
      <c r="N9">
        <v>1</v>
      </c>
      <c r="O9">
        <v>1.2200000000000001E-2</v>
      </c>
      <c r="P9">
        <v>1.2999999999999999E-2</v>
      </c>
      <c r="Q9" t="s">
        <v>30</v>
      </c>
      <c r="R9">
        <v>4</v>
      </c>
      <c r="S9">
        <v>4</v>
      </c>
      <c r="T9" t="s">
        <v>34</v>
      </c>
      <c r="U9">
        <v>1275.82</v>
      </c>
      <c r="V9">
        <v>1279.4000000000001</v>
      </c>
    </row>
    <row r="10" spans="1:22" x14ac:dyDescent="0.25">
      <c r="A10" t="s">
        <v>35</v>
      </c>
      <c r="B10" t="s">
        <v>21</v>
      </c>
      <c r="C10" t="s">
        <v>116</v>
      </c>
      <c r="D10" t="s">
        <v>32</v>
      </c>
      <c r="E10">
        <v>4</v>
      </c>
      <c r="F10">
        <v>4</v>
      </c>
      <c r="G10">
        <f t="shared" si="0"/>
        <v>0</v>
      </c>
      <c r="H10">
        <v>0</v>
      </c>
      <c r="I10">
        <v>0</v>
      </c>
      <c r="K10">
        <v>0.02</v>
      </c>
      <c r="L10">
        <v>0.05</v>
      </c>
      <c r="M10">
        <v>2</v>
      </c>
      <c r="N10">
        <v>1</v>
      </c>
      <c r="O10">
        <v>1.2200000000000001E-2</v>
      </c>
      <c r="P10">
        <v>1.2999999999999999E-2</v>
      </c>
      <c r="Q10" t="s">
        <v>22</v>
      </c>
      <c r="R10">
        <v>4</v>
      </c>
      <c r="S10">
        <v>0</v>
      </c>
      <c r="T10" t="s">
        <v>26</v>
      </c>
      <c r="U10">
        <v>1275.1300000000001</v>
      </c>
      <c r="V10">
        <v>1280.24</v>
      </c>
    </row>
    <row r="11" spans="1:22" x14ac:dyDescent="0.25">
      <c r="A11" t="s">
        <v>36</v>
      </c>
      <c r="B11" t="s">
        <v>21</v>
      </c>
      <c r="C11" t="s">
        <v>116</v>
      </c>
      <c r="D11" t="s">
        <v>122</v>
      </c>
      <c r="E11">
        <v>5</v>
      </c>
      <c r="F11">
        <v>4</v>
      </c>
      <c r="G11">
        <f t="shared" si="0"/>
        <v>0</v>
      </c>
      <c r="H11">
        <v>0</v>
      </c>
      <c r="I11">
        <v>0</v>
      </c>
      <c r="K11">
        <v>0.02</v>
      </c>
      <c r="L11">
        <v>0.05</v>
      </c>
      <c r="M11">
        <v>2</v>
      </c>
      <c r="N11">
        <v>1</v>
      </c>
      <c r="O11">
        <v>1.2200000000000001E-2</v>
      </c>
      <c r="P11">
        <v>1.2999999999999999E-2</v>
      </c>
      <c r="Q11" t="s">
        <v>22</v>
      </c>
      <c r="R11">
        <v>5</v>
      </c>
      <c r="S11">
        <v>0</v>
      </c>
      <c r="T11" t="s">
        <v>26</v>
      </c>
      <c r="U11">
        <v>1275.6199999999999</v>
      </c>
      <c r="V11">
        <v>1281.03</v>
      </c>
    </row>
    <row r="12" spans="1:22" x14ac:dyDescent="0.25">
      <c r="A12" t="s">
        <v>37</v>
      </c>
      <c r="B12" t="s">
        <v>21</v>
      </c>
      <c r="C12" t="s">
        <v>116</v>
      </c>
      <c r="D12" t="s">
        <v>36</v>
      </c>
      <c r="E12">
        <v>5</v>
      </c>
      <c r="F12">
        <v>4</v>
      </c>
      <c r="G12">
        <f t="shared" si="0"/>
        <v>0</v>
      </c>
      <c r="H12">
        <v>0</v>
      </c>
      <c r="I12">
        <v>0</v>
      </c>
      <c r="K12">
        <v>0.02</v>
      </c>
      <c r="L12">
        <v>0.05</v>
      </c>
      <c r="M12">
        <v>2</v>
      </c>
      <c r="N12">
        <v>1</v>
      </c>
      <c r="O12">
        <v>1.2200000000000001E-2</v>
      </c>
      <c r="P12">
        <v>1.2999999999999999E-2</v>
      </c>
      <c r="Q12" t="s">
        <v>22</v>
      </c>
      <c r="R12">
        <v>5</v>
      </c>
      <c r="S12">
        <v>0</v>
      </c>
      <c r="T12" t="s">
        <v>26</v>
      </c>
      <c r="U12">
        <v>1275.69</v>
      </c>
      <c r="V12">
        <v>1281.1300000000001</v>
      </c>
    </row>
    <row r="13" spans="1:22" x14ac:dyDescent="0.25">
      <c r="A13" t="s">
        <v>38</v>
      </c>
      <c r="B13" t="s">
        <v>21</v>
      </c>
      <c r="C13" t="s">
        <v>116</v>
      </c>
      <c r="D13" t="s">
        <v>35</v>
      </c>
      <c r="E13">
        <v>4</v>
      </c>
      <c r="F13">
        <v>4</v>
      </c>
      <c r="G13">
        <f t="shared" si="0"/>
        <v>0</v>
      </c>
      <c r="H13">
        <v>0</v>
      </c>
      <c r="I13">
        <v>0</v>
      </c>
      <c r="K13">
        <v>0.02</v>
      </c>
      <c r="L13">
        <v>0.05</v>
      </c>
      <c r="M13">
        <v>2</v>
      </c>
      <c r="N13">
        <v>1</v>
      </c>
      <c r="O13">
        <v>1.2200000000000001E-2</v>
      </c>
      <c r="P13">
        <v>1.2999999999999999E-2</v>
      </c>
      <c r="Q13" t="s">
        <v>22</v>
      </c>
      <c r="R13">
        <v>4</v>
      </c>
      <c r="S13">
        <v>0</v>
      </c>
      <c r="T13" t="s">
        <v>26</v>
      </c>
      <c r="U13">
        <v>1276.31</v>
      </c>
      <c r="V13">
        <v>1281.22</v>
      </c>
    </row>
    <row r="14" spans="1:22" x14ac:dyDescent="0.25">
      <c r="A14" t="s">
        <v>39</v>
      </c>
      <c r="B14" t="s">
        <v>21</v>
      </c>
      <c r="C14" t="s">
        <v>116</v>
      </c>
      <c r="D14" t="s">
        <v>37</v>
      </c>
      <c r="E14">
        <v>5</v>
      </c>
      <c r="F14">
        <v>4</v>
      </c>
      <c r="G14">
        <f t="shared" si="0"/>
        <v>0</v>
      </c>
      <c r="H14">
        <v>0</v>
      </c>
      <c r="I14">
        <v>0</v>
      </c>
      <c r="K14">
        <v>0.02</v>
      </c>
      <c r="L14">
        <v>0.05</v>
      </c>
      <c r="M14">
        <v>2</v>
      </c>
      <c r="N14">
        <v>1</v>
      </c>
      <c r="O14">
        <v>1.2200000000000001E-2</v>
      </c>
      <c r="P14">
        <v>1.2999999999999999E-2</v>
      </c>
      <c r="Q14" t="s">
        <v>22</v>
      </c>
      <c r="R14">
        <v>5</v>
      </c>
      <c r="S14">
        <v>0</v>
      </c>
      <c r="T14" t="s">
        <v>26</v>
      </c>
      <c r="U14">
        <v>1278.04</v>
      </c>
      <c r="V14">
        <v>1283.99</v>
      </c>
    </row>
    <row r="15" spans="1:22" x14ac:dyDescent="0.25">
      <c r="A15" t="s">
        <v>40</v>
      </c>
      <c r="B15" t="s">
        <v>21</v>
      </c>
      <c r="C15" t="s">
        <v>116</v>
      </c>
      <c r="D15" t="s">
        <v>119</v>
      </c>
      <c r="E15">
        <v>4</v>
      </c>
      <c r="F15">
        <v>4</v>
      </c>
      <c r="G15">
        <f t="shared" si="0"/>
        <v>0</v>
      </c>
      <c r="H15">
        <v>0</v>
      </c>
      <c r="I15">
        <v>0</v>
      </c>
      <c r="K15">
        <v>0.02</v>
      </c>
      <c r="L15">
        <v>0.05</v>
      </c>
      <c r="M15">
        <v>2</v>
      </c>
      <c r="N15">
        <v>1</v>
      </c>
      <c r="O15">
        <v>3.49E-2</v>
      </c>
      <c r="P15">
        <v>1.2999999999999999E-2</v>
      </c>
      <c r="Q15" t="s">
        <v>22</v>
      </c>
      <c r="R15">
        <v>4</v>
      </c>
      <c r="S15">
        <v>0</v>
      </c>
      <c r="T15" t="s">
        <v>26</v>
      </c>
      <c r="U15">
        <v>1280.28</v>
      </c>
      <c r="V15">
        <v>1284.45</v>
      </c>
    </row>
    <row r="16" spans="1:22" x14ac:dyDescent="0.25">
      <c r="A16" t="s">
        <v>41</v>
      </c>
      <c r="B16" t="s">
        <v>21</v>
      </c>
      <c r="C16" t="s">
        <v>116</v>
      </c>
      <c r="D16" t="s">
        <v>40</v>
      </c>
      <c r="E16">
        <v>4</v>
      </c>
      <c r="F16">
        <v>4</v>
      </c>
      <c r="G16">
        <f t="shared" si="0"/>
        <v>0</v>
      </c>
      <c r="H16">
        <v>0</v>
      </c>
      <c r="I16">
        <v>0</v>
      </c>
      <c r="K16">
        <v>0.02</v>
      </c>
      <c r="L16">
        <v>0.05</v>
      </c>
      <c r="M16">
        <v>2</v>
      </c>
      <c r="N16">
        <v>1</v>
      </c>
      <c r="O16">
        <v>3.49E-2</v>
      </c>
      <c r="P16">
        <v>1.2999999999999999E-2</v>
      </c>
      <c r="Q16" t="s">
        <v>22</v>
      </c>
      <c r="R16">
        <v>4</v>
      </c>
      <c r="S16">
        <v>0</v>
      </c>
      <c r="T16" t="s">
        <v>26</v>
      </c>
      <c r="U16">
        <v>1287.67</v>
      </c>
      <c r="V16">
        <v>1291.5899999999999</v>
      </c>
    </row>
    <row r="17" spans="1:22" x14ac:dyDescent="0.25">
      <c r="A17" t="s">
        <v>42</v>
      </c>
      <c r="B17" t="s">
        <v>21</v>
      </c>
      <c r="C17" t="s">
        <v>116</v>
      </c>
      <c r="D17" t="s">
        <v>39</v>
      </c>
      <c r="E17">
        <v>4</v>
      </c>
      <c r="F17">
        <v>4</v>
      </c>
      <c r="G17">
        <f t="shared" si="0"/>
        <v>0</v>
      </c>
      <c r="H17">
        <v>0</v>
      </c>
      <c r="I17">
        <v>0</v>
      </c>
      <c r="K17">
        <v>0.02</v>
      </c>
      <c r="L17">
        <v>0.05</v>
      </c>
      <c r="M17">
        <v>2</v>
      </c>
      <c r="N17">
        <v>1</v>
      </c>
      <c r="O17">
        <v>3.49E-2</v>
      </c>
      <c r="P17">
        <v>1.2999999999999999E-2</v>
      </c>
      <c r="Q17" t="s">
        <v>22</v>
      </c>
      <c r="R17">
        <v>4</v>
      </c>
      <c r="S17">
        <v>0</v>
      </c>
      <c r="T17" t="s">
        <v>26</v>
      </c>
      <c r="U17">
        <v>1288.26</v>
      </c>
      <c r="V17">
        <v>1291.94</v>
      </c>
    </row>
    <row r="18" spans="1:22" x14ac:dyDescent="0.25">
      <c r="A18" t="s">
        <v>43</v>
      </c>
      <c r="B18" t="s">
        <v>21</v>
      </c>
      <c r="C18" t="s">
        <v>116</v>
      </c>
      <c r="D18" t="s">
        <v>42</v>
      </c>
      <c r="E18">
        <v>0</v>
      </c>
      <c r="F18">
        <v>4</v>
      </c>
      <c r="G18">
        <f t="shared" si="0"/>
        <v>0</v>
      </c>
      <c r="H18">
        <v>0</v>
      </c>
      <c r="I18">
        <v>0</v>
      </c>
      <c r="K18">
        <v>0.02</v>
      </c>
      <c r="L18">
        <v>0.05</v>
      </c>
      <c r="M18">
        <v>2</v>
      </c>
      <c r="N18">
        <v>1</v>
      </c>
      <c r="O18">
        <v>3.49E-2</v>
      </c>
      <c r="P18">
        <v>1.2999999999999999E-2</v>
      </c>
      <c r="Q18" t="s">
        <v>22</v>
      </c>
      <c r="R18">
        <v>3</v>
      </c>
      <c r="S18">
        <v>3</v>
      </c>
      <c r="T18">
        <v>0</v>
      </c>
      <c r="U18">
        <v>1290</v>
      </c>
      <c r="V18">
        <v>1295</v>
      </c>
    </row>
    <row r="19" spans="1:22" x14ac:dyDescent="0.25">
      <c r="A19" t="s">
        <v>44</v>
      </c>
      <c r="B19" t="s">
        <v>21</v>
      </c>
      <c r="C19" t="s">
        <v>116</v>
      </c>
      <c r="D19" t="s">
        <v>41</v>
      </c>
      <c r="E19">
        <v>4</v>
      </c>
      <c r="F19">
        <v>4</v>
      </c>
      <c r="G19">
        <f t="shared" si="0"/>
        <v>0</v>
      </c>
      <c r="H19">
        <v>0</v>
      </c>
      <c r="I19">
        <v>0</v>
      </c>
      <c r="K19">
        <v>0.02</v>
      </c>
      <c r="L19">
        <v>0.05</v>
      </c>
      <c r="M19">
        <v>2</v>
      </c>
      <c r="N19">
        <v>1</v>
      </c>
      <c r="O19">
        <v>3.49E-2</v>
      </c>
      <c r="P19">
        <v>1.2999999999999999E-2</v>
      </c>
      <c r="Q19" t="s">
        <v>22</v>
      </c>
      <c r="R19">
        <v>4</v>
      </c>
      <c r="S19">
        <v>0</v>
      </c>
      <c r="T19" t="s">
        <v>26</v>
      </c>
      <c r="U19">
        <v>1290.74</v>
      </c>
      <c r="V19">
        <v>1294.3499999999999</v>
      </c>
    </row>
    <row r="20" spans="1:22" x14ac:dyDescent="0.25">
      <c r="A20" t="s">
        <v>45</v>
      </c>
      <c r="B20" t="s">
        <v>21</v>
      </c>
      <c r="C20" t="s">
        <v>116</v>
      </c>
      <c r="D20" t="s">
        <v>47</v>
      </c>
      <c r="E20">
        <v>4</v>
      </c>
      <c r="F20">
        <v>4</v>
      </c>
      <c r="G20">
        <f t="shared" si="0"/>
        <v>0</v>
      </c>
      <c r="H20">
        <v>0</v>
      </c>
      <c r="I20">
        <v>0</v>
      </c>
      <c r="K20">
        <v>0.02</v>
      </c>
      <c r="L20">
        <v>0.05</v>
      </c>
      <c r="M20">
        <v>2</v>
      </c>
      <c r="N20">
        <v>1</v>
      </c>
      <c r="O20">
        <v>3.0000000000000001E-3</v>
      </c>
      <c r="P20">
        <v>1.2999999999999999E-2</v>
      </c>
      <c r="Q20" t="s">
        <v>22</v>
      </c>
      <c r="R20">
        <v>4</v>
      </c>
      <c r="S20">
        <v>0</v>
      </c>
      <c r="T20" t="s">
        <v>26</v>
      </c>
      <c r="U20">
        <v>1277.0899999999999</v>
      </c>
      <c r="V20">
        <v>1280.6400000000001</v>
      </c>
    </row>
    <row r="21" spans="1:22" x14ac:dyDescent="0.25">
      <c r="A21" t="s">
        <v>46</v>
      </c>
      <c r="B21" t="s">
        <v>21</v>
      </c>
      <c r="C21" t="s">
        <v>116</v>
      </c>
      <c r="D21" t="s">
        <v>49</v>
      </c>
      <c r="E21">
        <v>0</v>
      </c>
      <c r="F21">
        <v>4</v>
      </c>
      <c r="G21">
        <f t="shared" si="0"/>
        <v>0</v>
      </c>
      <c r="H21">
        <v>0</v>
      </c>
      <c r="I21">
        <v>0</v>
      </c>
      <c r="K21">
        <v>0.02</v>
      </c>
      <c r="L21">
        <v>0.05</v>
      </c>
      <c r="M21">
        <v>2</v>
      </c>
      <c r="N21">
        <v>1</v>
      </c>
      <c r="O21">
        <v>3.0000000000000001E-3</v>
      </c>
      <c r="P21">
        <v>1.2999999999999999E-2</v>
      </c>
      <c r="Q21" t="s">
        <v>22</v>
      </c>
      <c r="R21">
        <v>3</v>
      </c>
      <c r="S21">
        <v>3</v>
      </c>
      <c r="T21">
        <v>0</v>
      </c>
      <c r="U21">
        <v>1272.67</v>
      </c>
      <c r="V21">
        <v>1276.77</v>
      </c>
    </row>
    <row r="22" spans="1:22" x14ac:dyDescent="0.25">
      <c r="A22" t="s">
        <v>47</v>
      </c>
      <c r="B22" t="s">
        <v>21</v>
      </c>
      <c r="C22" t="s">
        <v>116</v>
      </c>
      <c r="D22" t="s">
        <v>51</v>
      </c>
      <c r="E22">
        <v>7</v>
      </c>
      <c r="F22">
        <v>4</v>
      </c>
      <c r="G22">
        <f t="shared" si="0"/>
        <v>0</v>
      </c>
      <c r="H22">
        <v>0</v>
      </c>
      <c r="I22">
        <v>0</v>
      </c>
      <c r="K22">
        <v>0.02</v>
      </c>
      <c r="L22">
        <v>0.05</v>
      </c>
      <c r="M22">
        <v>2</v>
      </c>
      <c r="N22">
        <v>1</v>
      </c>
      <c r="O22">
        <v>3.0000000000000001E-3</v>
      </c>
      <c r="P22">
        <v>1.2999999999999999E-2</v>
      </c>
      <c r="Q22" t="s">
        <v>22</v>
      </c>
      <c r="R22">
        <v>7</v>
      </c>
      <c r="S22">
        <v>5</v>
      </c>
      <c r="T22" t="s">
        <v>48</v>
      </c>
      <c r="U22">
        <v>1271.55</v>
      </c>
      <c r="V22">
        <v>1278.44</v>
      </c>
    </row>
    <row r="23" spans="1:22" x14ac:dyDescent="0.25">
      <c r="A23" t="s">
        <v>49</v>
      </c>
      <c r="B23" t="s">
        <v>21</v>
      </c>
      <c r="C23" t="s">
        <v>116</v>
      </c>
      <c r="D23" t="s">
        <v>50</v>
      </c>
      <c r="E23">
        <v>7</v>
      </c>
      <c r="F23">
        <v>4</v>
      </c>
      <c r="G23">
        <f t="shared" si="0"/>
        <v>0</v>
      </c>
      <c r="H23">
        <v>0</v>
      </c>
      <c r="I23">
        <v>0</v>
      </c>
      <c r="K23">
        <v>0.02</v>
      </c>
      <c r="L23">
        <v>0.05</v>
      </c>
      <c r="M23">
        <v>2</v>
      </c>
      <c r="N23">
        <v>1</v>
      </c>
      <c r="O23">
        <v>3.0000000000000001E-3</v>
      </c>
      <c r="P23">
        <v>1.2999999999999999E-2</v>
      </c>
      <c r="Q23" t="s">
        <v>22</v>
      </c>
      <c r="R23">
        <v>7</v>
      </c>
      <c r="S23">
        <v>7</v>
      </c>
      <c r="T23" t="s">
        <v>48</v>
      </c>
      <c r="U23">
        <v>1271.2</v>
      </c>
      <c r="V23">
        <v>1278.6400000000001</v>
      </c>
    </row>
    <row r="24" spans="1:22" x14ac:dyDescent="0.25">
      <c r="A24" t="s">
        <v>50</v>
      </c>
      <c r="B24" t="s">
        <v>21</v>
      </c>
      <c r="C24" t="s">
        <v>115</v>
      </c>
      <c r="E24">
        <v>0</v>
      </c>
      <c r="F24">
        <v>4</v>
      </c>
      <c r="G24">
        <f t="shared" si="0"/>
        <v>0</v>
      </c>
      <c r="H24">
        <v>0</v>
      </c>
      <c r="I24">
        <v>0</v>
      </c>
      <c r="K24">
        <v>0.02</v>
      </c>
      <c r="L24">
        <v>0.05</v>
      </c>
      <c r="M24">
        <v>2</v>
      </c>
      <c r="N24">
        <v>1</v>
      </c>
      <c r="P24">
        <v>1.2999999999999999E-2</v>
      </c>
      <c r="Q24" t="s">
        <v>22</v>
      </c>
      <c r="R24">
        <v>3</v>
      </c>
      <c r="S24">
        <v>3</v>
      </c>
      <c r="T24">
        <v>0</v>
      </c>
      <c r="U24">
        <v>1272.99</v>
      </c>
      <c r="V24">
        <v>1278.53</v>
      </c>
    </row>
    <row r="25" spans="1:22" x14ac:dyDescent="0.25">
      <c r="A25" t="s">
        <v>51</v>
      </c>
      <c r="B25" t="s">
        <v>21</v>
      </c>
      <c r="C25" t="s">
        <v>115</v>
      </c>
      <c r="E25">
        <v>6</v>
      </c>
      <c r="F25">
        <v>4</v>
      </c>
      <c r="G25">
        <f t="shared" si="0"/>
        <v>0</v>
      </c>
      <c r="H25">
        <v>0</v>
      </c>
      <c r="I25">
        <v>0</v>
      </c>
      <c r="K25">
        <v>0.02</v>
      </c>
      <c r="L25">
        <v>0.05</v>
      </c>
      <c r="M25">
        <v>2</v>
      </c>
      <c r="N25">
        <v>1</v>
      </c>
      <c r="P25">
        <v>1.2999999999999999E-2</v>
      </c>
      <c r="Q25" t="s">
        <v>22</v>
      </c>
      <c r="R25">
        <v>6</v>
      </c>
      <c r="S25">
        <v>0</v>
      </c>
      <c r="T25" t="s">
        <v>26</v>
      </c>
      <c r="U25">
        <v>1271.8800000000001</v>
      </c>
      <c r="V25">
        <v>1278.3</v>
      </c>
    </row>
    <row r="26" spans="1:22" x14ac:dyDescent="0.25">
      <c r="A26" t="s">
        <v>52</v>
      </c>
      <c r="B26" t="s">
        <v>21</v>
      </c>
      <c r="C26" t="s">
        <v>116</v>
      </c>
      <c r="D26" t="s">
        <v>51</v>
      </c>
      <c r="E26">
        <v>6</v>
      </c>
      <c r="F26">
        <v>4</v>
      </c>
      <c r="G26">
        <f t="shared" si="0"/>
        <v>0</v>
      </c>
      <c r="H26">
        <v>0</v>
      </c>
      <c r="I26">
        <v>0</v>
      </c>
      <c r="K26">
        <v>0.02</v>
      </c>
      <c r="L26">
        <v>0.05</v>
      </c>
      <c r="M26">
        <v>2</v>
      </c>
      <c r="N26">
        <v>1</v>
      </c>
      <c r="O26">
        <v>5.8999999999999999E-3</v>
      </c>
      <c r="P26">
        <v>1.2999999999999999E-2</v>
      </c>
      <c r="Q26" t="s">
        <v>22</v>
      </c>
      <c r="R26">
        <v>6</v>
      </c>
      <c r="S26">
        <v>0</v>
      </c>
      <c r="T26" t="s">
        <v>26</v>
      </c>
      <c r="U26">
        <v>1271.9000000000001</v>
      </c>
      <c r="V26">
        <v>1278.3</v>
      </c>
    </row>
    <row r="27" spans="1:22" x14ac:dyDescent="0.25">
      <c r="A27" t="s">
        <v>53</v>
      </c>
      <c r="B27" t="s">
        <v>21</v>
      </c>
      <c r="C27" t="s">
        <v>116</v>
      </c>
      <c r="D27" t="s">
        <v>52</v>
      </c>
      <c r="E27">
        <v>6</v>
      </c>
      <c r="F27">
        <v>4</v>
      </c>
      <c r="G27">
        <f t="shared" si="0"/>
        <v>0</v>
      </c>
      <c r="H27">
        <v>0</v>
      </c>
      <c r="I27">
        <v>0</v>
      </c>
      <c r="K27">
        <v>0.02</v>
      </c>
      <c r="L27">
        <v>0.05</v>
      </c>
      <c r="M27">
        <v>2</v>
      </c>
      <c r="N27">
        <v>1</v>
      </c>
      <c r="O27">
        <v>5.8999999999999999E-3</v>
      </c>
      <c r="P27">
        <v>1.2999999999999999E-2</v>
      </c>
      <c r="Q27" t="s">
        <v>22</v>
      </c>
      <c r="R27">
        <v>6</v>
      </c>
      <c r="S27">
        <v>0</v>
      </c>
      <c r="T27" t="s">
        <v>26</v>
      </c>
      <c r="U27">
        <v>1272.03</v>
      </c>
      <c r="V27">
        <v>1278.33</v>
      </c>
    </row>
    <row r="28" spans="1:22" x14ac:dyDescent="0.25">
      <c r="A28" t="s">
        <v>54</v>
      </c>
      <c r="B28" t="s">
        <v>21</v>
      </c>
      <c r="C28" t="s">
        <v>116</v>
      </c>
      <c r="D28" t="s">
        <v>50</v>
      </c>
      <c r="E28">
        <v>0</v>
      </c>
      <c r="F28">
        <v>4</v>
      </c>
      <c r="G28">
        <f t="shared" si="0"/>
        <v>0</v>
      </c>
      <c r="H28">
        <v>0</v>
      </c>
      <c r="I28">
        <v>0</v>
      </c>
      <c r="K28">
        <v>0.02</v>
      </c>
      <c r="L28">
        <v>0.05</v>
      </c>
      <c r="M28">
        <v>2</v>
      </c>
      <c r="N28">
        <v>1</v>
      </c>
      <c r="O28">
        <v>5.8999999999999999E-3</v>
      </c>
      <c r="P28">
        <v>1.2999999999999999E-2</v>
      </c>
      <c r="Q28" t="s">
        <v>22</v>
      </c>
      <c r="R28">
        <v>3</v>
      </c>
      <c r="S28">
        <v>3</v>
      </c>
      <c r="T28">
        <v>0</v>
      </c>
      <c r="U28">
        <v>1273.32</v>
      </c>
      <c r="V28">
        <v>1278.55</v>
      </c>
    </row>
    <row r="29" spans="1:22" x14ac:dyDescent="0.25">
      <c r="A29" t="s">
        <v>55</v>
      </c>
      <c r="B29" t="s">
        <v>21</v>
      </c>
      <c r="C29" t="s">
        <v>116</v>
      </c>
      <c r="D29" t="s">
        <v>54</v>
      </c>
      <c r="E29">
        <v>0</v>
      </c>
      <c r="F29">
        <v>4</v>
      </c>
      <c r="G29">
        <f t="shared" ref="G29:G50" si="1">H29*I29</f>
        <v>0</v>
      </c>
      <c r="H29">
        <v>0</v>
      </c>
      <c r="I29">
        <v>0</v>
      </c>
      <c r="K29">
        <v>0.02</v>
      </c>
      <c r="L29">
        <v>0.05</v>
      </c>
      <c r="M29">
        <v>2</v>
      </c>
      <c r="N29">
        <v>1</v>
      </c>
      <c r="O29">
        <v>5.8999999999999999E-3</v>
      </c>
      <c r="P29">
        <v>1.2999999999999999E-2</v>
      </c>
      <c r="Q29" t="s">
        <v>22</v>
      </c>
      <c r="R29">
        <v>3</v>
      </c>
      <c r="S29">
        <v>3</v>
      </c>
      <c r="T29">
        <v>0</v>
      </c>
      <c r="U29">
        <v>1274.31</v>
      </c>
      <c r="V29">
        <v>1279.51</v>
      </c>
    </row>
    <row r="30" spans="1:22" x14ac:dyDescent="0.25">
      <c r="A30" t="s">
        <v>56</v>
      </c>
      <c r="B30" t="s">
        <v>21</v>
      </c>
      <c r="C30" t="s">
        <v>116</v>
      </c>
      <c r="D30" t="s">
        <v>52</v>
      </c>
      <c r="E30">
        <v>6</v>
      </c>
      <c r="F30">
        <v>4</v>
      </c>
      <c r="G30">
        <f t="shared" si="1"/>
        <v>0</v>
      </c>
      <c r="H30">
        <v>0</v>
      </c>
      <c r="I30">
        <v>0</v>
      </c>
      <c r="K30">
        <v>0.02</v>
      </c>
      <c r="L30">
        <v>0.05</v>
      </c>
      <c r="M30">
        <v>2</v>
      </c>
      <c r="N30">
        <v>1</v>
      </c>
      <c r="O30">
        <v>5.8999999999999999E-3</v>
      </c>
      <c r="P30">
        <v>1.2999999999999999E-2</v>
      </c>
      <c r="Q30" t="s">
        <v>22</v>
      </c>
      <c r="R30">
        <v>6</v>
      </c>
      <c r="S30">
        <v>0</v>
      </c>
      <c r="T30" t="s">
        <v>26</v>
      </c>
      <c r="U30">
        <v>1272.8900000000001</v>
      </c>
      <c r="V30">
        <v>1279.28</v>
      </c>
    </row>
    <row r="31" spans="1:22" x14ac:dyDescent="0.25">
      <c r="A31" t="s">
        <v>57</v>
      </c>
      <c r="B31" t="s">
        <v>21</v>
      </c>
      <c r="C31" t="s">
        <v>116</v>
      </c>
      <c r="D31" t="s">
        <v>56</v>
      </c>
      <c r="E31">
        <v>11</v>
      </c>
      <c r="F31">
        <v>4</v>
      </c>
      <c r="G31">
        <f t="shared" si="1"/>
        <v>0</v>
      </c>
      <c r="H31">
        <v>0</v>
      </c>
      <c r="I31">
        <v>0</v>
      </c>
      <c r="K31">
        <v>0.02</v>
      </c>
      <c r="L31">
        <v>0.05</v>
      </c>
      <c r="M31">
        <v>2</v>
      </c>
      <c r="N31">
        <v>1</v>
      </c>
      <c r="O31">
        <v>5.8999999999999999E-3</v>
      </c>
      <c r="P31">
        <v>1.2999999999999999E-2</v>
      </c>
      <c r="Q31" t="s">
        <v>22</v>
      </c>
      <c r="R31">
        <v>11</v>
      </c>
      <c r="S31">
        <v>8</v>
      </c>
      <c r="T31" t="s">
        <v>48</v>
      </c>
      <c r="U31">
        <v>1273.6400000000001</v>
      </c>
      <c r="V31">
        <v>1279.78</v>
      </c>
    </row>
    <row r="32" spans="1:22" x14ac:dyDescent="0.25">
      <c r="A32" t="s">
        <v>58</v>
      </c>
      <c r="B32" t="s">
        <v>21</v>
      </c>
      <c r="C32" t="s">
        <v>116</v>
      </c>
      <c r="D32" t="s">
        <v>55</v>
      </c>
      <c r="E32">
        <v>4</v>
      </c>
      <c r="F32">
        <v>4</v>
      </c>
      <c r="G32">
        <f t="shared" si="1"/>
        <v>0</v>
      </c>
      <c r="H32">
        <v>0</v>
      </c>
      <c r="I32">
        <v>0</v>
      </c>
      <c r="K32">
        <v>0.02</v>
      </c>
      <c r="L32">
        <v>0.05</v>
      </c>
      <c r="M32">
        <v>2</v>
      </c>
      <c r="N32">
        <v>1</v>
      </c>
      <c r="O32">
        <v>5.8999999999999999E-3</v>
      </c>
      <c r="P32">
        <v>1.2999999999999999E-2</v>
      </c>
      <c r="Q32" t="s">
        <v>22</v>
      </c>
      <c r="R32">
        <v>4</v>
      </c>
      <c r="S32">
        <v>0</v>
      </c>
      <c r="T32" t="s">
        <v>26</v>
      </c>
      <c r="U32">
        <v>1275.44</v>
      </c>
      <c r="V32">
        <v>1280.48</v>
      </c>
    </row>
    <row r="33" spans="1:22" x14ac:dyDescent="0.25">
      <c r="A33" t="s">
        <v>60</v>
      </c>
      <c r="B33" t="s">
        <v>29</v>
      </c>
      <c r="C33" t="s">
        <v>116</v>
      </c>
      <c r="D33" t="s">
        <v>58</v>
      </c>
      <c r="E33">
        <v>4</v>
      </c>
      <c r="F33">
        <v>0</v>
      </c>
      <c r="G33">
        <f t="shared" si="1"/>
        <v>6</v>
      </c>
      <c r="H33">
        <v>2</v>
      </c>
      <c r="I33">
        <v>3</v>
      </c>
      <c r="K33">
        <v>0.02</v>
      </c>
      <c r="L33">
        <v>0.05</v>
      </c>
      <c r="M33">
        <v>0</v>
      </c>
      <c r="N33">
        <v>1</v>
      </c>
      <c r="O33">
        <v>5.8999999999999999E-3</v>
      </c>
      <c r="P33">
        <v>1.2999999999999999E-2</v>
      </c>
      <c r="Q33" t="s">
        <v>30</v>
      </c>
      <c r="R33">
        <v>4</v>
      </c>
      <c r="S33">
        <v>4</v>
      </c>
      <c r="T33" t="s">
        <v>31</v>
      </c>
      <c r="U33">
        <v>1275.75</v>
      </c>
      <c r="V33">
        <v>1280.02</v>
      </c>
    </row>
    <row r="34" spans="1:22" x14ac:dyDescent="0.25">
      <c r="A34" t="s">
        <v>61</v>
      </c>
      <c r="B34" t="s">
        <v>21</v>
      </c>
      <c r="C34" t="s">
        <v>116</v>
      </c>
      <c r="D34" t="s">
        <v>57</v>
      </c>
      <c r="E34">
        <v>7</v>
      </c>
      <c r="F34">
        <v>4</v>
      </c>
      <c r="G34">
        <f t="shared" si="1"/>
        <v>0</v>
      </c>
      <c r="H34">
        <v>0</v>
      </c>
      <c r="I34">
        <v>0</v>
      </c>
      <c r="K34">
        <v>0.02</v>
      </c>
      <c r="L34">
        <v>0.05</v>
      </c>
      <c r="M34">
        <v>2</v>
      </c>
      <c r="N34">
        <v>1</v>
      </c>
      <c r="O34">
        <v>5.8999999999999999E-3</v>
      </c>
      <c r="P34">
        <v>1.2999999999999999E-2</v>
      </c>
      <c r="Q34" t="s">
        <v>22</v>
      </c>
      <c r="R34">
        <v>5</v>
      </c>
      <c r="S34">
        <v>7</v>
      </c>
      <c r="T34" t="s">
        <v>48</v>
      </c>
      <c r="U34">
        <v>1274.1099999999999</v>
      </c>
      <c r="V34">
        <v>1280.81</v>
      </c>
    </row>
    <row r="35" spans="1:22" x14ac:dyDescent="0.25">
      <c r="A35" t="s">
        <v>62</v>
      </c>
      <c r="B35" t="s">
        <v>29</v>
      </c>
      <c r="C35" t="s">
        <v>116</v>
      </c>
      <c r="D35" t="s">
        <v>57</v>
      </c>
      <c r="E35">
        <v>3</v>
      </c>
      <c r="F35">
        <v>0</v>
      </c>
      <c r="G35">
        <f t="shared" si="1"/>
        <v>6</v>
      </c>
      <c r="H35">
        <v>2</v>
      </c>
      <c r="I35">
        <v>3</v>
      </c>
      <c r="K35">
        <v>0.02</v>
      </c>
      <c r="L35">
        <v>0.05</v>
      </c>
      <c r="M35">
        <v>0</v>
      </c>
      <c r="N35">
        <v>1</v>
      </c>
      <c r="O35">
        <v>3.78E-2</v>
      </c>
      <c r="P35">
        <v>1.2999999999999999E-2</v>
      </c>
      <c r="Q35" t="s">
        <v>30</v>
      </c>
      <c r="R35">
        <v>3</v>
      </c>
      <c r="S35">
        <v>3</v>
      </c>
      <c r="T35" t="s">
        <v>31</v>
      </c>
      <c r="U35">
        <v>1276.3</v>
      </c>
      <c r="V35">
        <v>1280.3499999999999</v>
      </c>
    </row>
    <row r="36" spans="1:22" x14ac:dyDescent="0.25">
      <c r="A36" t="s">
        <v>63</v>
      </c>
      <c r="B36" t="s">
        <v>21</v>
      </c>
      <c r="C36" t="s">
        <v>116</v>
      </c>
      <c r="D36" t="s">
        <v>62</v>
      </c>
      <c r="E36">
        <v>4</v>
      </c>
      <c r="F36">
        <v>4</v>
      </c>
      <c r="G36">
        <f t="shared" si="1"/>
        <v>0</v>
      </c>
      <c r="H36">
        <v>0</v>
      </c>
      <c r="I36">
        <v>0</v>
      </c>
      <c r="K36">
        <v>0.02</v>
      </c>
      <c r="L36">
        <v>0.05</v>
      </c>
      <c r="M36">
        <v>2</v>
      </c>
      <c r="N36">
        <v>1</v>
      </c>
      <c r="O36">
        <v>3.78E-2</v>
      </c>
      <c r="P36">
        <v>1.2999999999999999E-2</v>
      </c>
      <c r="Q36" t="s">
        <v>22</v>
      </c>
      <c r="R36">
        <v>4</v>
      </c>
      <c r="S36">
        <v>0</v>
      </c>
      <c r="T36" t="s">
        <v>26</v>
      </c>
      <c r="U36">
        <v>1277.5</v>
      </c>
      <c r="V36">
        <v>1282.3699999999999</v>
      </c>
    </row>
    <row r="37" spans="1:22" x14ac:dyDescent="0.25">
      <c r="A37" t="s">
        <v>64</v>
      </c>
      <c r="B37" t="s">
        <v>21</v>
      </c>
      <c r="C37" t="s">
        <v>116</v>
      </c>
      <c r="D37" t="s">
        <v>61</v>
      </c>
      <c r="E37">
        <v>7</v>
      </c>
      <c r="F37">
        <v>4</v>
      </c>
      <c r="G37">
        <f t="shared" si="1"/>
        <v>0</v>
      </c>
      <c r="H37">
        <v>0</v>
      </c>
      <c r="I37">
        <v>0</v>
      </c>
      <c r="K37">
        <v>0.02</v>
      </c>
      <c r="L37">
        <v>0.05</v>
      </c>
      <c r="M37">
        <v>2</v>
      </c>
      <c r="N37">
        <v>1</v>
      </c>
      <c r="O37">
        <v>3.78E-2</v>
      </c>
      <c r="P37">
        <v>1.2999999999999999E-2</v>
      </c>
      <c r="Q37" t="s">
        <v>22</v>
      </c>
      <c r="R37">
        <v>7</v>
      </c>
      <c r="S37">
        <v>5</v>
      </c>
      <c r="T37" t="s">
        <v>48</v>
      </c>
      <c r="U37">
        <v>1274.6400000000001</v>
      </c>
      <c r="V37">
        <v>1281.18</v>
      </c>
    </row>
    <row r="38" spans="1:22" x14ac:dyDescent="0.25">
      <c r="A38" t="s">
        <v>65</v>
      </c>
      <c r="B38" t="s">
        <v>29</v>
      </c>
      <c r="C38" t="s">
        <v>115</v>
      </c>
      <c r="E38">
        <v>4</v>
      </c>
      <c r="F38">
        <v>0</v>
      </c>
      <c r="G38">
        <f t="shared" si="1"/>
        <v>6</v>
      </c>
      <c r="H38">
        <v>2</v>
      </c>
      <c r="I38">
        <v>3</v>
      </c>
      <c r="K38">
        <v>0.02</v>
      </c>
      <c r="L38">
        <v>0.05</v>
      </c>
      <c r="M38">
        <v>0</v>
      </c>
      <c r="N38">
        <v>1</v>
      </c>
      <c r="P38">
        <v>1.2999999999999999E-2</v>
      </c>
      <c r="Q38" t="s">
        <v>30</v>
      </c>
      <c r="R38">
        <v>4</v>
      </c>
      <c r="S38">
        <v>4</v>
      </c>
      <c r="T38" t="s">
        <v>34</v>
      </c>
      <c r="U38">
        <v>1276.74</v>
      </c>
      <c r="V38">
        <v>1283</v>
      </c>
    </row>
    <row r="39" spans="1:22" x14ac:dyDescent="0.25">
      <c r="A39" t="s">
        <v>66</v>
      </c>
      <c r="B39" t="s">
        <v>21</v>
      </c>
      <c r="C39" t="s">
        <v>116</v>
      </c>
      <c r="D39" t="s">
        <v>27</v>
      </c>
      <c r="E39">
        <v>4</v>
      </c>
      <c r="F39">
        <v>4</v>
      </c>
      <c r="G39">
        <f t="shared" si="1"/>
        <v>0</v>
      </c>
      <c r="H39">
        <v>0</v>
      </c>
      <c r="I39">
        <v>0</v>
      </c>
      <c r="K39">
        <v>0.02</v>
      </c>
      <c r="L39">
        <v>0.05</v>
      </c>
      <c r="M39">
        <v>2</v>
      </c>
      <c r="N39">
        <v>1</v>
      </c>
      <c r="O39">
        <v>3.78E-2</v>
      </c>
      <c r="P39">
        <v>1.2999999999999999E-2</v>
      </c>
      <c r="Q39" t="s">
        <v>22</v>
      </c>
      <c r="R39">
        <v>4</v>
      </c>
      <c r="S39">
        <v>0</v>
      </c>
      <c r="T39" t="s">
        <v>26</v>
      </c>
      <c r="U39">
        <v>1279.4000000000001</v>
      </c>
      <c r="V39">
        <v>1284.82</v>
      </c>
    </row>
    <row r="40" spans="1:22" x14ac:dyDescent="0.25">
      <c r="A40" t="s">
        <v>67</v>
      </c>
      <c r="B40" t="s">
        <v>21</v>
      </c>
      <c r="C40" t="s">
        <v>116</v>
      </c>
      <c r="D40" t="s">
        <v>64</v>
      </c>
      <c r="E40">
        <v>4</v>
      </c>
      <c r="F40">
        <v>4</v>
      </c>
      <c r="G40">
        <f t="shared" si="1"/>
        <v>0</v>
      </c>
      <c r="H40">
        <v>0</v>
      </c>
      <c r="I40">
        <v>0</v>
      </c>
      <c r="K40">
        <v>0.02</v>
      </c>
      <c r="L40">
        <v>0.05</v>
      </c>
      <c r="M40">
        <v>2</v>
      </c>
      <c r="N40">
        <v>1</v>
      </c>
      <c r="O40">
        <v>3.78E-2</v>
      </c>
      <c r="P40">
        <v>1.2999999999999999E-2</v>
      </c>
      <c r="Q40" t="s">
        <v>22</v>
      </c>
      <c r="R40">
        <v>4</v>
      </c>
      <c r="S40">
        <v>0</v>
      </c>
      <c r="T40" t="s">
        <v>26</v>
      </c>
      <c r="U40">
        <v>1278.74</v>
      </c>
      <c r="V40">
        <v>1285.46</v>
      </c>
    </row>
    <row r="41" spans="1:22" x14ac:dyDescent="0.25">
      <c r="A41" t="s">
        <v>68</v>
      </c>
      <c r="B41" t="s">
        <v>21</v>
      </c>
      <c r="C41" t="s">
        <v>116</v>
      </c>
      <c r="D41" t="s">
        <v>66</v>
      </c>
      <c r="E41">
        <v>4</v>
      </c>
      <c r="F41">
        <v>4</v>
      </c>
      <c r="G41">
        <f t="shared" si="1"/>
        <v>0</v>
      </c>
      <c r="H41">
        <v>0</v>
      </c>
      <c r="I41">
        <v>0</v>
      </c>
      <c r="K41">
        <v>0.02</v>
      </c>
      <c r="L41">
        <v>0.05</v>
      </c>
      <c r="M41">
        <v>2</v>
      </c>
      <c r="N41">
        <v>1</v>
      </c>
      <c r="O41">
        <v>3.78E-2</v>
      </c>
      <c r="P41">
        <v>1.2999999999999999E-2</v>
      </c>
      <c r="Q41" t="s">
        <v>22</v>
      </c>
      <c r="R41">
        <v>4</v>
      </c>
      <c r="S41">
        <v>0</v>
      </c>
      <c r="T41" t="s">
        <v>26</v>
      </c>
      <c r="U41">
        <v>1286.93</v>
      </c>
      <c r="V41">
        <v>1291.1300000000001</v>
      </c>
    </row>
    <row r="42" spans="1:22" x14ac:dyDescent="0.25">
      <c r="A42" t="s">
        <v>69</v>
      </c>
      <c r="B42" t="s">
        <v>21</v>
      </c>
      <c r="C42" t="s">
        <v>116</v>
      </c>
      <c r="D42" t="s">
        <v>117</v>
      </c>
      <c r="E42">
        <v>4</v>
      </c>
      <c r="F42">
        <v>4</v>
      </c>
      <c r="G42">
        <f t="shared" si="1"/>
        <v>0</v>
      </c>
      <c r="H42">
        <v>0</v>
      </c>
      <c r="I42">
        <v>0</v>
      </c>
      <c r="K42">
        <v>0.02</v>
      </c>
      <c r="L42">
        <v>0.05</v>
      </c>
      <c r="M42">
        <v>2</v>
      </c>
      <c r="N42">
        <v>1</v>
      </c>
      <c r="O42">
        <v>3.78E-2</v>
      </c>
      <c r="P42">
        <v>1.2999999999999999E-2</v>
      </c>
      <c r="Q42" t="s">
        <v>22</v>
      </c>
      <c r="R42">
        <v>4</v>
      </c>
      <c r="S42">
        <v>0</v>
      </c>
      <c r="T42" t="s">
        <v>26</v>
      </c>
      <c r="U42">
        <v>1284.25</v>
      </c>
      <c r="V42">
        <v>1291.05</v>
      </c>
    </row>
    <row r="43" spans="1:22" x14ac:dyDescent="0.25">
      <c r="A43" t="s">
        <v>70</v>
      </c>
      <c r="B43" t="s">
        <v>29</v>
      </c>
      <c r="C43" t="s">
        <v>115</v>
      </c>
      <c r="E43">
        <v>4</v>
      </c>
      <c r="F43">
        <v>0</v>
      </c>
      <c r="G43">
        <f t="shared" si="1"/>
        <v>6</v>
      </c>
      <c r="H43">
        <v>2</v>
      </c>
      <c r="I43">
        <v>3</v>
      </c>
      <c r="K43">
        <v>0.02</v>
      </c>
      <c r="L43">
        <v>0.05</v>
      </c>
      <c r="M43">
        <v>0</v>
      </c>
      <c r="N43">
        <v>1</v>
      </c>
      <c r="P43">
        <v>1.2999999999999999E-2</v>
      </c>
      <c r="Q43" t="s">
        <v>30</v>
      </c>
      <c r="R43">
        <v>4</v>
      </c>
      <c r="S43">
        <v>4</v>
      </c>
      <c r="T43" t="s">
        <v>34</v>
      </c>
      <c r="U43">
        <v>1286.77</v>
      </c>
      <c r="V43">
        <v>1289.8</v>
      </c>
    </row>
    <row r="44" spans="1:22" x14ac:dyDescent="0.25">
      <c r="A44" t="s">
        <v>71</v>
      </c>
      <c r="B44" t="s">
        <v>21</v>
      </c>
      <c r="C44" t="s">
        <v>116</v>
      </c>
      <c r="D44" t="s">
        <v>68</v>
      </c>
      <c r="E44">
        <v>4</v>
      </c>
      <c r="F44">
        <v>4</v>
      </c>
      <c r="G44">
        <f t="shared" si="1"/>
        <v>0</v>
      </c>
      <c r="H44">
        <v>0</v>
      </c>
      <c r="I44">
        <v>0</v>
      </c>
      <c r="K44">
        <v>0.02</v>
      </c>
      <c r="L44">
        <v>0.05</v>
      </c>
      <c r="M44">
        <v>2</v>
      </c>
      <c r="N44">
        <v>1</v>
      </c>
      <c r="O44">
        <v>3.0000000000000001E-3</v>
      </c>
      <c r="P44">
        <v>1.2999999999999999E-2</v>
      </c>
      <c r="Q44" t="s">
        <v>22</v>
      </c>
      <c r="R44">
        <v>4</v>
      </c>
      <c r="S44">
        <v>0</v>
      </c>
      <c r="T44" t="s">
        <v>26</v>
      </c>
      <c r="U44">
        <v>1288.8800000000001</v>
      </c>
      <c r="V44">
        <v>1292.57</v>
      </c>
    </row>
    <row r="45" spans="1:22" x14ac:dyDescent="0.25">
      <c r="A45" t="s">
        <v>72</v>
      </c>
      <c r="B45" t="s">
        <v>21</v>
      </c>
      <c r="C45" t="s">
        <v>116</v>
      </c>
      <c r="D45" t="s">
        <v>118</v>
      </c>
      <c r="E45">
        <v>4</v>
      </c>
      <c r="F45">
        <v>4</v>
      </c>
      <c r="G45">
        <f t="shared" si="1"/>
        <v>0</v>
      </c>
      <c r="H45">
        <v>0</v>
      </c>
      <c r="I45">
        <v>0</v>
      </c>
      <c r="K45">
        <v>0.02</v>
      </c>
      <c r="L45">
        <v>0.05</v>
      </c>
      <c r="M45">
        <v>2</v>
      </c>
      <c r="N45">
        <v>1</v>
      </c>
      <c r="O45">
        <v>3.0000000000000001E-3</v>
      </c>
      <c r="P45">
        <v>1.2999999999999999E-2</v>
      </c>
      <c r="Q45" t="s">
        <v>22</v>
      </c>
      <c r="R45">
        <v>4</v>
      </c>
      <c r="S45">
        <v>0</v>
      </c>
      <c r="T45" t="s">
        <v>26</v>
      </c>
      <c r="U45">
        <v>1288.29</v>
      </c>
      <c r="V45">
        <v>1291.97</v>
      </c>
    </row>
    <row r="46" spans="1:22" x14ac:dyDescent="0.25">
      <c r="A46" t="s">
        <v>73</v>
      </c>
      <c r="B46" t="s">
        <v>113</v>
      </c>
      <c r="E46">
        <v>6</v>
      </c>
      <c r="F46">
        <v>0</v>
      </c>
      <c r="G46">
        <f t="shared" si="1"/>
        <v>6</v>
      </c>
      <c r="H46">
        <v>2</v>
      </c>
      <c r="I46">
        <v>3</v>
      </c>
      <c r="K46">
        <v>0.02</v>
      </c>
      <c r="L46">
        <v>0.05</v>
      </c>
      <c r="M46">
        <v>0</v>
      </c>
      <c r="N46">
        <v>1</v>
      </c>
      <c r="P46">
        <v>1.2999999999999999E-2</v>
      </c>
      <c r="Q46" t="s">
        <v>30</v>
      </c>
      <c r="R46">
        <v>6</v>
      </c>
      <c r="S46">
        <v>6</v>
      </c>
      <c r="T46" t="s">
        <v>34</v>
      </c>
      <c r="U46">
        <v>1285</v>
      </c>
      <c r="V46">
        <v>1293</v>
      </c>
    </row>
    <row r="47" spans="1:22" x14ac:dyDescent="0.25">
      <c r="A47" t="s">
        <v>74</v>
      </c>
      <c r="B47" t="s">
        <v>21</v>
      </c>
      <c r="C47" t="s">
        <v>115</v>
      </c>
      <c r="E47">
        <v>0</v>
      </c>
      <c r="F47">
        <v>4</v>
      </c>
      <c r="G47">
        <f t="shared" si="1"/>
        <v>0</v>
      </c>
      <c r="H47">
        <v>0</v>
      </c>
      <c r="I47">
        <v>0</v>
      </c>
      <c r="K47">
        <v>0.02</v>
      </c>
      <c r="L47">
        <v>0.05</v>
      </c>
      <c r="M47">
        <v>2</v>
      </c>
      <c r="N47">
        <v>1</v>
      </c>
      <c r="P47">
        <v>1.2999999999999999E-2</v>
      </c>
      <c r="Q47" t="s">
        <v>22</v>
      </c>
      <c r="R47">
        <v>3</v>
      </c>
      <c r="S47">
        <v>3</v>
      </c>
      <c r="T47">
        <v>0</v>
      </c>
      <c r="U47">
        <v>1287</v>
      </c>
      <c r="V47">
        <v>1291</v>
      </c>
    </row>
    <row r="48" spans="1:22" x14ac:dyDescent="0.25">
      <c r="A48" t="s">
        <v>75</v>
      </c>
      <c r="B48" t="s">
        <v>113</v>
      </c>
      <c r="E48">
        <v>6</v>
      </c>
      <c r="F48">
        <v>4</v>
      </c>
      <c r="G48">
        <f t="shared" si="1"/>
        <v>0</v>
      </c>
      <c r="H48">
        <v>0</v>
      </c>
      <c r="I48">
        <v>0</v>
      </c>
      <c r="K48">
        <v>0.02</v>
      </c>
      <c r="L48">
        <v>0.05</v>
      </c>
      <c r="M48">
        <v>2</v>
      </c>
      <c r="N48">
        <v>1</v>
      </c>
      <c r="P48">
        <v>1.2999999999999999E-2</v>
      </c>
      <c r="Q48" t="s">
        <v>22</v>
      </c>
      <c r="R48">
        <v>6</v>
      </c>
      <c r="S48">
        <v>0</v>
      </c>
      <c r="T48" t="s">
        <v>26</v>
      </c>
      <c r="U48">
        <v>1286.47</v>
      </c>
      <c r="V48">
        <v>1290.23</v>
      </c>
    </row>
    <row r="49" spans="1:22" x14ac:dyDescent="0.25">
      <c r="A49" t="s">
        <v>76</v>
      </c>
      <c r="B49" t="s">
        <v>21</v>
      </c>
      <c r="C49" t="s">
        <v>116</v>
      </c>
      <c r="D49" t="s">
        <v>78</v>
      </c>
      <c r="E49">
        <v>7</v>
      </c>
      <c r="F49">
        <v>4</v>
      </c>
      <c r="G49">
        <f t="shared" si="1"/>
        <v>0</v>
      </c>
      <c r="H49">
        <v>0</v>
      </c>
      <c r="I49">
        <v>0</v>
      </c>
      <c r="K49">
        <v>0.02</v>
      </c>
      <c r="L49">
        <v>0.05</v>
      </c>
      <c r="M49">
        <v>2</v>
      </c>
      <c r="N49">
        <v>1</v>
      </c>
      <c r="O49">
        <v>7.3000000000000001E-3</v>
      </c>
      <c r="P49">
        <v>1.2999999999999999E-2</v>
      </c>
      <c r="Q49" t="s">
        <v>22</v>
      </c>
      <c r="R49">
        <v>7</v>
      </c>
      <c r="S49">
        <v>5</v>
      </c>
      <c r="T49" t="s">
        <v>48</v>
      </c>
      <c r="U49">
        <v>1286.33</v>
      </c>
      <c r="V49">
        <v>1292.48</v>
      </c>
    </row>
    <row r="50" spans="1:22" x14ac:dyDescent="0.25">
      <c r="A50" t="s">
        <v>77</v>
      </c>
      <c r="B50" t="s">
        <v>21</v>
      </c>
      <c r="C50" t="s">
        <v>116</v>
      </c>
      <c r="D50" t="s">
        <v>79</v>
      </c>
      <c r="E50">
        <v>7</v>
      </c>
      <c r="F50">
        <v>4</v>
      </c>
      <c r="G50">
        <f t="shared" si="1"/>
        <v>0</v>
      </c>
      <c r="H50">
        <v>0</v>
      </c>
      <c r="I50">
        <v>0</v>
      </c>
      <c r="K50">
        <v>0.02</v>
      </c>
      <c r="L50">
        <v>0.05</v>
      </c>
      <c r="M50">
        <v>2</v>
      </c>
      <c r="N50">
        <v>1</v>
      </c>
      <c r="O50">
        <v>7.3000000000000001E-3</v>
      </c>
      <c r="P50">
        <v>1.2999999999999999E-2</v>
      </c>
      <c r="Q50" t="s">
        <v>22</v>
      </c>
      <c r="R50">
        <v>7</v>
      </c>
      <c r="S50">
        <v>6</v>
      </c>
      <c r="T50" t="s">
        <v>48</v>
      </c>
      <c r="U50">
        <v>1285.9000000000001</v>
      </c>
      <c r="V50">
        <v>1292.6400000000001</v>
      </c>
    </row>
    <row r="51" spans="1:22" x14ac:dyDescent="0.25">
      <c r="A51" t="s">
        <v>78</v>
      </c>
      <c r="B51" t="s">
        <v>21</v>
      </c>
      <c r="C51" t="s">
        <v>116</v>
      </c>
      <c r="D51" t="s">
        <v>80</v>
      </c>
      <c r="E51">
        <v>5</v>
      </c>
      <c r="F51">
        <v>4</v>
      </c>
      <c r="G51">
        <f t="shared" ref="G51:G64" si="2">H51*I51</f>
        <v>0</v>
      </c>
      <c r="H51">
        <v>0</v>
      </c>
      <c r="I51">
        <v>0</v>
      </c>
      <c r="K51">
        <v>0.02</v>
      </c>
      <c r="L51">
        <v>0.05</v>
      </c>
      <c r="M51">
        <v>2</v>
      </c>
      <c r="N51">
        <v>1</v>
      </c>
      <c r="O51">
        <v>7.3000000000000001E-3</v>
      </c>
      <c r="P51">
        <v>1.2999999999999999E-2</v>
      </c>
      <c r="Q51" t="s">
        <v>22</v>
      </c>
      <c r="R51">
        <v>5</v>
      </c>
      <c r="S51">
        <v>0</v>
      </c>
      <c r="T51" t="s">
        <v>26</v>
      </c>
      <c r="U51">
        <v>1286.97</v>
      </c>
      <c r="V51">
        <v>1291.97</v>
      </c>
    </row>
    <row r="52" spans="1:22" x14ac:dyDescent="0.25">
      <c r="A52" t="s">
        <v>79</v>
      </c>
      <c r="B52" t="s">
        <v>21</v>
      </c>
      <c r="C52" t="s">
        <v>116</v>
      </c>
      <c r="D52" t="s">
        <v>81</v>
      </c>
      <c r="E52">
        <v>4</v>
      </c>
      <c r="F52">
        <v>4</v>
      </c>
      <c r="G52">
        <f t="shared" si="2"/>
        <v>0</v>
      </c>
      <c r="H52">
        <v>0</v>
      </c>
      <c r="I52">
        <v>0</v>
      </c>
      <c r="K52">
        <v>0.02</v>
      </c>
      <c r="L52">
        <v>0.05</v>
      </c>
      <c r="M52">
        <v>2</v>
      </c>
      <c r="N52">
        <v>1</v>
      </c>
      <c r="O52">
        <v>7.3000000000000001E-3</v>
      </c>
      <c r="P52">
        <v>1.2999999999999999E-2</v>
      </c>
      <c r="Q52" t="s">
        <v>22</v>
      </c>
      <c r="R52">
        <v>4</v>
      </c>
      <c r="S52">
        <v>0</v>
      </c>
      <c r="T52" t="s">
        <v>26</v>
      </c>
      <c r="U52">
        <v>1287.8599999999999</v>
      </c>
      <c r="V52">
        <v>1292.08</v>
      </c>
    </row>
    <row r="53" spans="1:22" x14ac:dyDescent="0.25">
      <c r="A53" t="s">
        <v>80</v>
      </c>
      <c r="B53" t="s">
        <v>21</v>
      </c>
      <c r="C53" t="s">
        <v>115</v>
      </c>
      <c r="E53">
        <v>5</v>
      </c>
      <c r="F53">
        <v>4</v>
      </c>
      <c r="G53">
        <f t="shared" si="2"/>
        <v>0</v>
      </c>
      <c r="H53">
        <v>0</v>
      </c>
      <c r="I53">
        <v>0</v>
      </c>
      <c r="K53">
        <v>0.02</v>
      </c>
      <c r="L53">
        <v>0.05</v>
      </c>
      <c r="M53">
        <v>2</v>
      </c>
      <c r="N53">
        <v>1</v>
      </c>
      <c r="P53">
        <v>1.2999999999999999E-2</v>
      </c>
      <c r="Q53" t="s">
        <v>22</v>
      </c>
      <c r="R53">
        <v>5</v>
      </c>
      <c r="S53">
        <v>0</v>
      </c>
      <c r="T53" t="s">
        <v>26</v>
      </c>
      <c r="U53">
        <v>1287</v>
      </c>
      <c r="V53">
        <v>1291.97</v>
      </c>
    </row>
    <row r="54" spans="1:22" x14ac:dyDescent="0.25">
      <c r="A54" t="s">
        <v>81</v>
      </c>
      <c r="B54" t="s">
        <v>21</v>
      </c>
      <c r="C54" t="s">
        <v>115</v>
      </c>
      <c r="E54">
        <v>4</v>
      </c>
      <c r="F54">
        <v>4</v>
      </c>
      <c r="G54">
        <f t="shared" si="2"/>
        <v>0</v>
      </c>
      <c r="H54">
        <v>0</v>
      </c>
      <c r="I54">
        <v>0</v>
      </c>
      <c r="K54">
        <v>0.02</v>
      </c>
      <c r="L54">
        <v>0.05</v>
      </c>
      <c r="M54">
        <v>2</v>
      </c>
      <c r="N54">
        <v>1</v>
      </c>
      <c r="P54">
        <v>1.2999999999999999E-2</v>
      </c>
      <c r="Q54" t="s">
        <v>22</v>
      </c>
      <c r="R54">
        <v>4</v>
      </c>
      <c r="S54">
        <v>0</v>
      </c>
      <c r="T54" t="s">
        <v>26</v>
      </c>
      <c r="U54">
        <v>1288.1300000000001</v>
      </c>
      <c r="V54">
        <v>1292.07</v>
      </c>
    </row>
    <row r="55" spans="1:22" x14ac:dyDescent="0.25">
      <c r="A55" t="s">
        <v>82</v>
      </c>
      <c r="B55" t="s">
        <v>21</v>
      </c>
      <c r="C55" t="s">
        <v>116</v>
      </c>
      <c r="D55" t="s">
        <v>80</v>
      </c>
      <c r="E55">
        <v>5</v>
      </c>
      <c r="F55">
        <v>4</v>
      </c>
      <c r="G55">
        <f t="shared" si="2"/>
        <v>0</v>
      </c>
      <c r="H55">
        <v>0</v>
      </c>
      <c r="I55">
        <v>0</v>
      </c>
      <c r="K55">
        <v>0.02</v>
      </c>
      <c r="L55">
        <v>0.05</v>
      </c>
      <c r="M55">
        <v>2</v>
      </c>
      <c r="N55">
        <v>1</v>
      </c>
      <c r="O55">
        <v>1.01E-2</v>
      </c>
      <c r="P55">
        <v>1.2999999999999999E-2</v>
      </c>
      <c r="Q55" t="s">
        <v>22</v>
      </c>
      <c r="R55">
        <v>5</v>
      </c>
      <c r="S55">
        <v>0</v>
      </c>
      <c r="T55" t="s">
        <v>26</v>
      </c>
      <c r="U55">
        <v>1287.04</v>
      </c>
      <c r="V55">
        <v>1291.98</v>
      </c>
    </row>
    <row r="56" spans="1:22" x14ac:dyDescent="0.25">
      <c r="A56" t="s">
        <v>83</v>
      </c>
      <c r="B56" t="s">
        <v>21</v>
      </c>
      <c r="C56" t="s">
        <v>116</v>
      </c>
      <c r="D56" t="s">
        <v>81</v>
      </c>
      <c r="E56">
        <v>4</v>
      </c>
      <c r="F56">
        <v>4</v>
      </c>
      <c r="G56">
        <f t="shared" si="2"/>
        <v>0</v>
      </c>
      <c r="H56">
        <v>0</v>
      </c>
      <c r="I56">
        <v>0</v>
      </c>
      <c r="K56">
        <v>0.02</v>
      </c>
      <c r="L56">
        <v>0.05</v>
      </c>
      <c r="M56">
        <v>2</v>
      </c>
      <c r="N56">
        <v>1</v>
      </c>
      <c r="O56">
        <v>1.01E-2</v>
      </c>
      <c r="P56">
        <v>1.2999999999999999E-2</v>
      </c>
      <c r="Q56" t="s">
        <v>22</v>
      </c>
      <c r="R56">
        <v>4</v>
      </c>
      <c r="S56">
        <v>0</v>
      </c>
      <c r="T56" t="s">
        <v>26</v>
      </c>
      <c r="U56">
        <v>1288.4000000000001</v>
      </c>
      <c r="V56">
        <v>1292.07</v>
      </c>
    </row>
    <row r="57" spans="1:22" x14ac:dyDescent="0.25">
      <c r="A57" t="s">
        <v>84</v>
      </c>
      <c r="B57" t="s">
        <v>21</v>
      </c>
      <c r="C57" t="s">
        <v>116</v>
      </c>
      <c r="D57" t="s">
        <v>83</v>
      </c>
      <c r="E57">
        <v>0</v>
      </c>
      <c r="F57">
        <v>4</v>
      </c>
      <c r="G57">
        <f t="shared" si="2"/>
        <v>0</v>
      </c>
      <c r="H57">
        <v>0</v>
      </c>
      <c r="I57">
        <v>0</v>
      </c>
      <c r="K57">
        <v>0.02</v>
      </c>
      <c r="L57">
        <v>0.05</v>
      </c>
      <c r="M57">
        <v>2</v>
      </c>
      <c r="N57">
        <v>1</v>
      </c>
      <c r="O57">
        <v>1.01E-2</v>
      </c>
      <c r="P57">
        <v>1.2999999999999999E-2</v>
      </c>
      <c r="Q57" t="s">
        <v>22</v>
      </c>
      <c r="R57">
        <v>4</v>
      </c>
      <c r="S57">
        <v>4</v>
      </c>
      <c r="T57">
        <v>0</v>
      </c>
      <c r="U57">
        <v>1288.6099999999999</v>
      </c>
      <c r="V57">
        <v>1292.3699999999999</v>
      </c>
    </row>
    <row r="58" spans="1:22" x14ac:dyDescent="0.25">
      <c r="A58" t="s">
        <v>85</v>
      </c>
      <c r="B58" t="s">
        <v>21</v>
      </c>
      <c r="C58" t="s">
        <v>116</v>
      </c>
      <c r="D58" t="s">
        <v>82</v>
      </c>
      <c r="E58">
        <v>5</v>
      </c>
      <c r="F58">
        <v>4</v>
      </c>
      <c r="G58">
        <f t="shared" si="2"/>
        <v>0</v>
      </c>
      <c r="H58">
        <v>0</v>
      </c>
      <c r="I58">
        <v>0</v>
      </c>
      <c r="K58">
        <v>0.02</v>
      </c>
      <c r="L58">
        <v>0.05</v>
      </c>
      <c r="M58">
        <v>2</v>
      </c>
      <c r="N58">
        <v>1</v>
      </c>
      <c r="O58">
        <v>1.01E-2</v>
      </c>
      <c r="P58">
        <v>1.2999999999999999E-2</v>
      </c>
      <c r="Q58" t="s">
        <v>22</v>
      </c>
      <c r="R58">
        <v>5</v>
      </c>
      <c r="S58">
        <v>0</v>
      </c>
      <c r="T58" t="s">
        <v>26</v>
      </c>
      <c r="U58">
        <v>1287.49</v>
      </c>
      <c r="V58">
        <v>1292.32</v>
      </c>
    </row>
    <row r="59" spans="1:22" x14ac:dyDescent="0.25">
      <c r="A59" t="s">
        <v>86</v>
      </c>
      <c r="B59" t="s">
        <v>21</v>
      </c>
      <c r="C59" t="s">
        <v>116</v>
      </c>
      <c r="D59" t="s">
        <v>85</v>
      </c>
      <c r="E59">
        <v>0</v>
      </c>
      <c r="F59">
        <v>4</v>
      </c>
      <c r="G59">
        <f t="shared" si="2"/>
        <v>0</v>
      </c>
      <c r="H59">
        <v>0</v>
      </c>
      <c r="I59">
        <v>0</v>
      </c>
      <c r="K59">
        <v>0.02</v>
      </c>
      <c r="L59">
        <v>0.05</v>
      </c>
      <c r="M59">
        <v>2</v>
      </c>
      <c r="N59">
        <v>1</v>
      </c>
      <c r="O59">
        <v>1.01E-2</v>
      </c>
      <c r="P59">
        <v>1.2999999999999999E-2</v>
      </c>
      <c r="Q59" t="s">
        <v>22</v>
      </c>
      <c r="R59">
        <v>3</v>
      </c>
      <c r="S59">
        <v>3</v>
      </c>
      <c r="T59">
        <v>0</v>
      </c>
      <c r="U59">
        <v>1288</v>
      </c>
      <c r="V59">
        <v>1293</v>
      </c>
    </row>
    <row r="60" spans="1:22" x14ac:dyDescent="0.25">
      <c r="A60" t="s">
        <v>87</v>
      </c>
      <c r="B60" t="s">
        <v>21</v>
      </c>
      <c r="D60" t="s">
        <v>88</v>
      </c>
      <c r="E60">
        <v>4</v>
      </c>
      <c r="F60">
        <v>4</v>
      </c>
      <c r="G60">
        <f t="shared" si="2"/>
        <v>0</v>
      </c>
      <c r="H60">
        <v>0</v>
      </c>
      <c r="I60">
        <v>0</v>
      </c>
      <c r="K60">
        <v>0.02</v>
      </c>
      <c r="L60">
        <v>0.05</v>
      </c>
      <c r="M60">
        <v>2</v>
      </c>
      <c r="N60">
        <v>1</v>
      </c>
      <c r="P60">
        <v>1.2999999999999999E-2</v>
      </c>
      <c r="Q60" t="s">
        <v>22</v>
      </c>
      <c r="R60">
        <v>4</v>
      </c>
      <c r="S60">
        <v>0</v>
      </c>
      <c r="T60" t="s">
        <v>26</v>
      </c>
      <c r="U60">
        <v>1286.97</v>
      </c>
      <c r="V60">
        <v>1290.53</v>
      </c>
    </row>
    <row r="61" spans="1:22" x14ac:dyDescent="0.25">
      <c r="A61" t="s">
        <v>88</v>
      </c>
      <c r="B61" t="s">
        <v>21</v>
      </c>
      <c r="C61" t="s">
        <v>115</v>
      </c>
      <c r="E61">
        <v>4</v>
      </c>
      <c r="F61">
        <v>4</v>
      </c>
      <c r="G61">
        <f t="shared" si="2"/>
        <v>0</v>
      </c>
      <c r="H61">
        <v>0</v>
      </c>
      <c r="I61">
        <v>0</v>
      </c>
      <c r="K61">
        <v>0.02</v>
      </c>
      <c r="L61">
        <v>0.05</v>
      </c>
      <c r="M61">
        <v>2</v>
      </c>
      <c r="N61">
        <v>1</v>
      </c>
      <c r="P61">
        <v>1.2999999999999999E-2</v>
      </c>
      <c r="Q61" t="s">
        <v>22</v>
      </c>
      <c r="R61">
        <v>4</v>
      </c>
      <c r="S61">
        <v>0</v>
      </c>
      <c r="T61" t="s">
        <v>26</v>
      </c>
      <c r="U61">
        <v>1286.8699999999999</v>
      </c>
      <c r="V61">
        <v>1290.3800000000001</v>
      </c>
    </row>
    <row r="62" spans="1:22" x14ac:dyDescent="0.25">
      <c r="A62" t="s">
        <v>89</v>
      </c>
      <c r="B62" t="s">
        <v>21</v>
      </c>
      <c r="D62" t="s">
        <v>88</v>
      </c>
      <c r="E62">
        <v>4</v>
      </c>
      <c r="F62">
        <v>4</v>
      </c>
      <c r="G62">
        <f t="shared" si="2"/>
        <v>0</v>
      </c>
      <c r="H62">
        <v>0</v>
      </c>
      <c r="I62">
        <v>0</v>
      </c>
      <c r="K62">
        <v>0.02</v>
      </c>
      <c r="L62">
        <v>0.05</v>
      </c>
      <c r="M62">
        <v>2</v>
      </c>
      <c r="N62">
        <v>1</v>
      </c>
      <c r="P62">
        <v>1.2999999999999999E-2</v>
      </c>
      <c r="Q62" t="s">
        <v>22</v>
      </c>
      <c r="R62">
        <v>4</v>
      </c>
      <c r="S62">
        <v>0</v>
      </c>
      <c r="T62" t="s">
        <v>26</v>
      </c>
      <c r="U62">
        <v>1285.8399999999999</v>
      </c>
      <c r="V62">
        <v>1290.3900000000001</v>
      </c>
    </row>
    <row r="63" spans="1:22" x14ac:dyDescent="0.25">
      <c r="A63" t="s">
        <v>90</v>
      </c>
      <c r="B63" t="s">
        <v>29</v>
      </c>
      <c r="C63" t="s">
        <v>115</v>
      </c>
      <c r="E63">
        <v>4</v>
      </c>
      <c r="F63">
        <v>0</v>
      </c>
      <c r="G63">
        <f t="shared" si="2"/>
        <v>6</v>
      </c>
      <c r="H63">
        <v>2</v>
      </c>
      <c r="I63">
        <v>3</v>
      </c>
      <c r="K63">
        <v>0.02</v>
      </c>
      <c r="L63">
        <v>0.05</v>
      </c>
      <c r="M63">
        <v>0</v>
      </c>
      <c r="N63">
        <v>1</v>
      </c>
      <c r="P63">
        <v>1.2999999999999999E-2</v>
      </c>
      <c r="Q63" t="s">
        <v>30</v>
      </c>
      <c r="R63">
        <v>4</v>
      </c>
      <c r="S63">
        <v>4</v>
      </c>
      <c r="T63" t="s">
        <v>34</v>
      </c>
      <c r="U63">
        <v>1285.95</v>
      </c>
      <c r="V63">
        <v>1289.5</v>
      </c>
    </row>
    <row r="64" spans="1:22" x14ac:dyDescent="0.25">
      <c r="A64" t="s">
        <v>91</v>
      </c>
      <c r="B64" t="s">
        <v>29</v>
      </c>
      <c r="C64" t="s">
        <v>115</v>
      </c>
      <c r="E64">
        <v>4</v>
      </c>
      <c r="F64">
        <v>0</v>
      </c>
      <c r="G64">
        <f t="shared" si="2"/>
        <v>6</v>
      </c>
      <c r="H64">
        <v>2</v>
      </c>
      <c r="I64">
        <v>3</v>
      </c>
      <c r="K64">
        <v>0.02</v>
      </c>
      <c r="L64">
        <v>0.05</v>
      </c>
      <c r="M64">
        <v>0</v>
      </c>
      <c r="N64">
        <v>1</v>
      </c>
      <c r="P64">
        <v>1.2999999999999999E-2</v>
      </c>
      <c r="Q64" t="s">
        <v>30</v>
      </c>
      <c r="R64">
        <v>4</v>
      </c>
      <c r="S64">
        <v>4</v>
      </c>
      <c r="T64" t="s">
        <v>34</v>
      </c>
      <c r="U64">
        <v>1285.4100000000001</v>
      </c>
      <c r="V64">
        <v>1289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4"/>
  <sheetViews>
    <sheetView tabSelected="1" zoomScaleNormal="100" workbookViewId="0">
      <selection activeCell="H11" sqref="H11"/>
    </sheetView>
  </sheetViews>
  <sheetFormatPr defaultColWidth="8.5546875" defaultRowHeight="15" x14ac:dyDescent="0.25"/>
  <cols>
    <col min="1" max="1" width="17.33203125" customWidth="1"/>
    <col min="2" max="2" width="24.21875" customWidth="1"/>
  </cols>
  <sheetData>
    <row r="1" spans="1:21" x14ac:dyDescent="0.25">
      <c r="A1" t="s">
        <v>92</v>
      </c>
      <c r="B1" t="s">
        <v>93</v>
      </c>
      <c r="C1" t="s">
        <v>94</v>
      </c>
      <c r="D1" t="s">
        <v>95</v>
      </c>
      <c r="E1" t="s">
        <v>1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</v>
      </c>
      <c r="P1" t="s">
        <v>105</v>
      </c>
      <c r="Q1" t="s">
        <v>106</v>
      </c>
      <c r="R1" t="s">
        <v>15</v>
      </c>
      <c r="S1" t="s">
        <v>107</v>
      </c>
      <c r="T1" t="s">
        <v>108</v>
      </c>
      <c r="U1" t="s">
        <v>109</v>
      </c>
    </row>
    <row r="2" spans="1:21" x14ac:dyDescent="0.25">
      <c r="A2" t="s">
        <v>20</v>
      </c>
      <c r="B2" t="s">
        <v>23</v>
      </c>
      <c r="C2">
        <v>28</v>
      </c>
      <c r="D2">
        <v>0</v>
      </c>
      <c r="E2" t="s">
        <v>21</v>
      </c>
      <c r="F2">
        <f>7.5*G2*H2</f>
        <v>0.30000000000000004</v>
      </c>
      <c r="G2">
        <f>MAX(ABS(VALUE(LEFT(SUBSTITUTE(A2,"+",""),5))-VALUE(LEFT(SUBSTITUTE(B2,"+",""),5)))*75/43560,0.05)</f>
        <v>0.05</v>
      </c>
      <c r="H2">
        <v>0.8</v>
      </c>
      <c r="I2" t="s">
        <v>123</v>
      </c>
      <c r="J2">
        <f>MAX(SQRT(G2*43560)/0.5/30,5)</f>
        <v>5</v>
      </c>
      <c r="K2">
        <f>LOOKUP(B2,Inlets!A:A,Inlets!U:U)</f>
        <v>1274.47</v>
      </c>
      <c r="L2">
        <f>(M2-K2)/C2</f>
        <v>1.8928571428570455E-2</v>
      </c>
      <c r="M2">
        <f>LOOKUP(A2,Inlets!A:A,Inlets!U:U)</f>
        <v>1275</v>
      </c>
      <c r="N2">
        <v>18</v>
      </c>
      <c r="O2" t="s">
        <v>22</v>
      </c>
      <c r="P2">
        <f>N2</f>
        <v>18</v>
      </c>
      <c r="Q2">
        <v>1</v>
      </c>
      <c r="R2">
        <v>1.2999999999999999E-2</v>
      </c>
      <c r="S2">
        <v>0.05</v>
      </c>
      <c r="T2">
        <f>LOOKUP(B2,Inlets!A:A,Inlets!V:V)</f>
        <v>1279.07</v>
      </c>
      <c r="U2">
        <f>LOOKUP(A2,Inlets!A:A,Inlets!V:V)</f>
        <v>1280</v>
      </c>
    </row>
    <row r="3" spans="1:21" x14ac:dyDescent="0.25">
      <c r="A3" t="s">
        <v>24</v>
      </c>
      <c r="B3" t="s">
        <v>25</v>
      </c>
      <c r="C3">
        <v>28</v>
      </c>
      <c r="D3">
        <v>0</v>
      </c>
      <c r="E3" t="s">
        <v>21</v>
      </c>
      <c r="F3">
        <f t="shared" ref="F3:F64" si="0">7.5*G3*H3</f>
        <v>0.30000000000000004</v>
      </c>
      <c r="G3">
        <f t="shared" ref="G3:G64" si="1">MAX(ABS(VALUE(LEFT(SUBSTITUTE(A3,"+",""),5))-VALUE(LEFT(SUBSTITUTE(B3,"+",""),5)))*75/43560,0.05)</f>
        <v>0.05</v>
      </c>
      <c r="H3">
        <v>0.8</v>
      </c>
      <c r="I3" t="s">
        <v>123</v>
      </c>
      <c r="J3">
        <f t="shared" ref="J3:J64" si="2">MAX(SQRT(G3*43560)/0.5/30,5)</f>
        <v>5</v>
      </c>
      <c r="K3">
        <f>LOOKUP(B3,Inlets!A:A,Inlets!U:U)</f>
        <v>1275.1400000000001</v>
      </c>
      <c r="L3">
        <f t="shared" ref="L3:L64" si="3">(M3-K3)/C3</f>
        <v>0.17357142857142499</v>
      </c>
      <c r="M3">
        <f>LOOKUP(A3,Inlets!A:A,Inlets!U:U)</f>
        <v>1280</v>
      </c>
      <c r="N3">
        <v>18</v>
      </c>
      <c r="O3" t="s">
        <v>22</v>
      </c>
      <c r="P3">
        <f t="shared" ref="P3:P64" si="4">N3</f>
        <v>18</v>
      </c>
      <c r="Q3">
        <v>1</v>
      </c>
      <c r="R3">
        <v>1.2999999999999999E-2</v>
      </c>
      <c r="S3">
        <v>0.05</v>
      </c>
      <c r="T3">
        <f>LOOKUP(B3,Inlets!A:A,Inlets!V:V)</f>
        <v>1279.48</v>
      </c>
      <c r="U3">
        <f>LOOKUP(A3,Inlets!A:A,Inlets!V:V)</f>
        <v>1276</v>
      </c>
    </row>
    <row r="4" spans="1:21" x14ac:dyDescent="0.25">
      <c r="A4" t="s">
        <v>25</v>
      </c>
      <c r="B4" t="s">
        <v>23</v>
      </c>
      <c r="C4">
        <v>67</v>
      </c>
      <c r="D4">
        <v>0</v>
      </c>
      <c r="E4" t="s">
        <v>21</v>
      </c>
      <c r="F4">
        <f t="shared" si="0"/>
        <v>0.72314049586776863</v>
      </c>
      <c r="G4">
        <f t="shared" si="1"/>
        <v>0.12052341597796143</v>
      </c>
      <c r="H4">
        <v>0.8</v>
      </c>
      <c r="I4" t="s">
        <v>123</v>
      </c>
      <c r="J4">
        <f t="shared" si="2"/>
        <v>5</v>
      </c>
      <c r="K4">
        <f>LOOKUP(B4,Inlets!A:A,Inlets!U:U)</f>
        <v>1274.47</v>
      </c>
      <c r="L4">
        <f t="shared" si="3"/>
        <v>1.0000000000001086E-2</v>
      </c>
      <c r="M4">
        <f>LOOKUP(A4,Inlets!A:A,Inlets!U:U)</f>
        <v>1275.1400000000001</v>
      </c>
      <c r="N4">
        <v>18</v>
      </c>
      <c r="O4" t="s">
        <v>22</v>
      </c>
      <c r="P4">
        <f t="shared" si="4"/>
        <v>18</v>
      </c>
      <c r="Q4">
        <v>1</v>
      </c>
      <c r="R4">
        <v>1.2999999999999999E-2</v>
      </c>
      <c r="S4">
        <v>0.05</v>
      </c>
      <c r="T4">
        <f>LOOKUP(B4,Inlets!A:A,Inlets!V:V)</f>
        <v>1279.07</v>
      </c>
      <c r="U4">
        <f>LOOKUP(A4,Inlets!A:A,Inlets!V:V)</f>
        <v>1279.48</v>
      </c>
    </row>
    <row r="5" spans="1:21" x14ac:dyDescent="0.25">
      <c r="A5" t="s">
        <v>27</v>
      </c>
      <c r="B5" t="s">
        <v>25</v>
      </c>
      <c r="C5">
        <v>61</v>
      </c>
      <c r="D5">
        <v>0</v>
      </c>
      <c r="E5" t="s">
        <v>21</v>
      </c>
      <c r="F5">
        <f t="shared" si="0"/>
        <v>0.67148760330578527</v>
      </c>
      <c r="G5">
        <f t="shared" si="1"/>
        <v>0.11191460055096419</v>
      </c>
      <c r="H5">
        <v>0.8</v>
      </c>
      <c r="I5" t="s">
        <v>123</v>
      </c>
      <c r="J5">
        <f t="shared" si="2"/>
        <v>5</v>
      </c>
      <c r="K5">
        <f>LOOKUP(B5,Inlets!A:A,Inlets!U:U)</f>
        <v>1275.1400000000001</v>
      </c>
      <c r="L5">
        <f t="shared" si="3"/>
        <v>9.9999999999983592E-3</v>
      </c>
      <c r="M5">
        <f>LOOKUP(A5,Inlets!A:A,Inlets!U:U)</f>
        <v>1275.75</v>
      </c>
      <c r="N5">
        <v>18</v>
      </c>
      <c r="O5" t="s">
        <v>22</v>
      </c>
      <c r="P5">
        <f t="shared" si="4"/>
        <v>18</v>
      </c>
      <c r="Q5">
        <v>1</v>
      </c>
      <c r="R5">
        <v>1.2999999999999999E-2</v>
      </c>
      <c r="S5">
        <v>0.05</v>
      </c>
      <c r="T5">
        <f>LOOKUP(B5,Inlets!A:A,Inlets!V:V)</f>
        <v>1279.48</v>
      </c>
      <c r="U5">
        <f>LOOKUP(A5,Inlets!A:A,Inlets!V:V)</f>
        <v>1279.9000000000001</v>
      </c>
    </row>
    <row r="6" spans="1:21" x14ac:dyDescent="0.25">
      <c r="A6" t="s">
        <v>28</v>
      </c>
      <c r="B6" t="s">
        <v>60</v>
      </c>
      <c r="C6">
        <v>35</v>
      </c>
      <c r="D6">
        <v>0</v>
      </c>
      <c r="E6" t="s">
        <v>29</v>
      </c>
      <c r="F6">
        <f t="shared" si="0"/>
        <v>0.60000000000000009</v>
      </c>
      <c r="G6">
        <v>0.1</v>
      </c>
      <c r="H6">
        <v>0.8</v>
      </c>
      <c r="I6" t="s">
        <v>123</v>
      </c>
      <c r="J6">
        <f t="shared" si="2"/>
        <v>5</v>
      </c>
      <c r="K6">
        <f>LOOKUP(B6,Inlets!A:A,Inlets!U:U)</f>
        <v>1275.75</v>
      </c>
      <c r="L6">
        <f t="shared" si="3"/>
        <v>7.1428571428571426E-3</v>
      </c>
      <c r="M6">
        <f>LOOKUP(A6,Inlets!A:A,Inlets!U:U)</f>
        <v>1276</v>
      </c>
      <c r="N6">
        <v>18</v>
      </c>
      <c r="O6" t="s">
        <v>22</v>
      </c>
      <c r="P6">
        <f t="shared" si="4"/>
        <v>18</v>
      </c>
      <c r="Q6">
        <v>1</v>
      </c>
      <c r="R6">
        <v>1.2999999999999999E-2</v>
      </c>
      <c r="S6">
        <v>0.05</v>
      </c>
      <c r="T6">
        <f>LOOKUP(B6,Inlets!A:A,Inlets!V:V)</f>
        <v>1280.02</v>
      </c>
      <c r="U6">
        <f>LOOKUP(A6,Inlets!A:A,Inlets!V:V)</f>
        <v>1280.3900000000001</v>
      </c>
    </row>
    <row r="7" spans="1:21" x14ac:dyDescent="0.25">
      <c r="A7" t="s">
        <v>32</v>
      </c>
      <c r="B7" t="s">
        <v>57</v>
      </c>
      <c r="C7">
        <v>24</v>
      </c>
      <c r="D7">
        <v>0</v>
      </c>
      <c r="E7" t="s">
        <v>21</v>
      </c>
      <c r="F7">
        <f t="shared" si="0"/>
        <v>0.60000000000000009</v>
      </c>
      <c r="G7">
        <v>0.1</v>
      </c>
      <c r="H7">
        <v>0.8</v>
      </c>
      <c r="I7" t="s">
        <v>123</v>
      </c>
      <c r="J7">
        <f t="shared" si="2"/>
        <v>5</v>
      </c>
      <c r="K7">
        <f>LOOKUP(B7,Inlets!A:A,Inlets!U:U)</f>
        <v>1273.6400000000001</v>
      </c>
      <c r="L7">
        <f t="shared" si="3"/>
        <v>1.916666666665871E-2</v>
      </c>
      <c r="M7">
        <f>LOOKUP(A7,Inlets!A:A,Inlets!U:U)</f>
        <v>1274.0999999999999</v>
      </c>
      <c r="N7">
        <v>18</v>
      </c>
      <c r="O7" t="s">
        <v>22</v>
      </c>
      <c r="P7">
        <f t="shared" si="4"/>
        <v>18</v>
      </c>
      <c r="Q7">
        <v>1</v>
      </c>
      <c r="R7">
        <v>1.2999999999999999E-2</v>
      </c>
      <c r="S7">
        <v>0.05</v>
      </c>
      <c r="T7">
        <f>LOOKUP(B7,Inlets!A:A,Inlets!V:V)</f>
        <v>1279.78</v>
      </c>
      <c r="U7">
        <f>LOOKUP(A7,Inlets!A:A,Inlets!V:V)</f>
        <v>1279.6300000000001</v>
      </c>
    </row>
    <row r="8" spans="1:21" x14ac:dyDescent="0.25">
      <c r="A8" t="s">
        <v>33</v>
      </c>
      <c r="B8" t="s">
        <v>32</v>
      </c>
      <c r="C8">
        <v>17</v>
      </c>
      <c r="D8">
        <v>0</v>
      </c>
      <c r="E8" t="s">
        <v>29</v>
      </c>
      <c r="F8">
        <f t="shared" si="0"/>
        <v>0.30000000000000004</v>
      </c>
      <c r="G8">
        <f t="shared" si="1"/>
        <v>0.05</v>
      </c>
      <c r="H8">
        <v>0.8</v>
      </c>
      <c r="I8" t="s">
        <v>123</v>
      </c>
      <c r="J8">
        <f t="shared" si="2"/>
        <v>5</v>
      </c>
      <c r="K8">
        <f>LOOKUP(B8,Inlets!A:A,Inlets!U:U)</f>
        <v>1274.0999999999999</v>
      </c>
      <c r="L8">
        <f t="shared" si="3"/>
        <v>0.10117647058823689</v>
      </c>
      <c r="M8">
        <f>LOOKUP(A8,Inlets!A:A,Inlets!U:U)</f>
        <v>1275.82</v>
      </c>
      <c r="N8">
        <v>18</v>
      </c>
      <c r="O8" t="s">
        <v>22</v>
      </c>
      <c r="P8">
        <f t="shared" si="4"/>
        <v>18</v>
      </c>
      <c r="Q8">
        <v>1</v>
      </c>
      <c r="R8">
        <v>1.2999999999999999E-2</v>
      </c>
      <c r="S8">
        <v>0.05</v>
      </c>
      <c r="T8">
        <f>LOOKUP(B8,Inlets!A:A,Inlets!V:V)</f>
        <v>1279.6300000000001</v>
      </c>
      <c r="U8">
        <f>LOOKUP(A8,Inlets!A:A,Inlets!V:V)</f>
        <v>1279.4000000000001</v>
      </c>
    </row>
    <row r="9" spans="1:21" x14ac:dyDescent="0.25">
      <c r="A9" t="s">
        <v>35</v>
      </c>
      <c r="B9" t="s">
        <v>32</v>
      </c>
      <c r="C9">
        <v>52</v>
      </c>
      <c r="D9">
        <v>0</v>
      </c>
      <c r="E9" t="s">
        <v>21</v>
      </c>
      <c r="F9">
        <f t="shared" si="0"/>
        <v>0.43388429752066116</v>
      </c>
      <c r="G9">
        <f t="shared" si="1"/>
        <v>7.2314049586776855E-2</v>
      </c>
      <c r="H9">
        <v>0.8</v>
      </c>
      <c r="I9" t="s">
        <v>123</v>
      </c>
      <c r="J9">
        <f t="shared" si="2"/>
        <v>5</v>
      </c>
      <c r="K9">
        <f>LOOKUP(B9,Inlets!A:A,Inlets!U:U)</f>
        <v>1274.0999999999999</v>
      </c>
      <c r="L9">
        <f t="shared" si="3"/>
        <v>1.9807692307696155E-2</v>
      </c>
      <c r="M9">
        <f>LOOKUP(A9,Inlets!A:A,Inlets!U:U)</f>
        <v>1275.1300000000001</v>
      </c>
      <c r="N9">
        <v>18</v>
      </c>
      <c r="O9" t="s">
        <v>22</v>
      </c>
      <c r="P9">
        <f t="shared" si="4"/>
        <v>18</v>
      </c>
      <c r="Q9">
        <v>1</v>
      </c>
      <c r="R9">
        <v>1.2999999999999999E-2</v>
      </c>
      <c r="S9">
        <v>0.05</v>
      </c>
      <c r="T9">
        <f>LOOKUP(B9,Inlets!A:A,Inlets!V:V)</f>
        <v>1279.6300000000001</v>
      </c>
      <c r="U9">
        <f>LOOKUP(A9,Inlets!A:A,Inlets!V:V)</f>
        <v>1280.24</v>
      </c>
    </row>
    <row r="10" spans="1:21" x14ac:dyDescent="0.25">
      <c r="A10" t="s">
        <v>36</v>
      </c>
      <c r="B10" t="s">
        <v>64</v>
      </c>
      <c r="C10">
        <v>21</v>
      </c>
      <c r="D10">
        <v>0</v>
      </c>
      <c r="E10" t="s">
        <v>21</v>
      </c>
      <c r="F10">
        <f t="shared" si="0"/>
        <v>0.60000000000000009</v>
      </c>
      <c r="G10">
        <v>0.1</v>
      </c>
      <c r="H10">
        <v>0.8</v>
      </c>
      <c r="I10" t="s">
        <v>123</v>
      </c>
      <c r="J10">
        <f t="shared" si="2"/>
        <v>5</v>
      </c>
      <c r="K10">
        <f>LOOKUP(B10,Inlets!A:A,Inlets!U:U)</f>
        <v>1274.6400000000001</v>
      </c>
      <c r="L10">
        <f t="shared" si="3"/>
        <v>4.6666666666656705E-2</v>
      </c>
      <c r="M10">
        <f>LOOKUP(A10,Inlets!A:A,Inlets!U:U)</f>
        <v>1275.6199999999999</v>
      </c>
      <c r="N10">
        <v>36</v>
      </c>
      <c r="O10" t="s">
        <v>22</v>
      </c>
      <c r="P10">
        <f t="shared" si="4"/>
        <v>36</v>
      </c>
      <c r="Q10">
        <v>1</v>
      </c>
      <c r="R10">
        <v>1.2999999999999999E-2</v>
      </c>
      <c r="S10">
        <v>0.05</v>
      </c>
      <c r="T10">
        <f>LOOKUP(B10,Inlets!A:A,Inlets!V:V)</f>
        <v>1281.18</v>
      </c>
      <c r="U10">
        <f>LOOKUP(A10,Inlets!A:A,Inlets!V:V)</f>
        <v>1281.03</v>
      </c>
    </row>
    <row r="11" spans="1:21" x14ac:dyDescent="0.25">
      <c r="A11" t="s">
        <v>37</v>
      </c>
      <c r="B11" t="s">
        <v>36</v>
      </c>
      <c r="C11">
        <v>6</v>
      </c>
      <c r="D11">
        <v>0</v>
      </c>
      <c r="E11" t="s">
        <v>21</v>
      </c>
      <c r="F11">
        <f t="shared" si="0"/>
        <v>0.30000000000000004</v>
      </c>
      <c r="G11">
        <f t="shared" si="1"/>
        <v>0.05</v>
      </c>
      <c r="H11">
        <v>0.8</v>
      </c>
      <c r="I11" t="s">
        <v>123</v>
      </c>
      <c r="J11">
        <f t="shared" si="2"/>
        <v>5</v>
      </c>
      <c r="K11">
        <f>LOOKUP(B11,Inlets!A:A,Inlets!U:U)</f>
        <v>1275.6199999999999</v>
      </c>
      <c r="L11">
        <f t="shared" si="3"/>
        <v>1.1666666666693951E-2</v>
      </c>
      <c r="M11">
        <f>LOOKUP(A11,Inlets!A:A,Inlets!U:U)</f>
        <v>1275.69</v>
      </c>
      <c r="N11">
        <v>36</v>
      </c>
      <c r="O11" t="s">
        <v>22</v>
      </c>
      <c r="P11">
        <f t="shared" si="4"/>
        <v>36</v>
      </c>
      <c r="Q11">
        <v>1</v>
      </c>
      <c r="R11">
        <v>1.2999999999999999E-2</v>
      </c>
      <c r="S11">
        <v>0.05</v>
      </c>
      <c r="T11">
        <f>LOOKUP(B11,Inlets!A:A,Inlets!V:V)</f>
        <v>1281.03</v>
      </c>
      <c r="U11">
        <f>LOOKUP(A11,Inlets!A:A,Inlets!V:V)</f>
        <v>1281.1300000000001</v>
      </c>
    </row>
    <row r="12" spans="1:21" x14ac:dyDescent="0.25">
      <c r="A12" t="s">
        <v>38</v>
      </c>
      <c r="B12" t="s">
        <v>35</v>
      </c>
      <c r="C12">
        <v>57</v>
      </c>
      <c r="D12">
        <v>0</v>
      </c>
      <c r="E12" t="s">
        <v>21</v>
      </c>
      <c r="F12">
        <f t="shared" si="0"/>
        <v>0.60950413223140498</v>
      </c>
      <c r="G12">
        <f t="shared" si="1"/>
        <v>0.10158402203856749</v>
      </c>
      <c r="H12">
        <v>0.8</v>
      </c>
      <c r="I12" t="s">
        <v>123</v>
      </c>
      <c r="J12">
        <f t="shared" si="2"/>
        <v>5</v>
      </c>
      <c r="K12">
        <f>LOOKUP(B12,Inlets!A:A,Inlets!U:U)</f>
        <v>1275.1300000000001</v>
      </c>
      <c r="L12">
        <f t="shared" si="3"/>
        <v>2.0701754385962039E-2</v>
      </c>
      <c r="M12">
        <f>LOOKUP(A12,Inlets!A:A,Inlets!U:U)</f>
        <v>1276.31</v>
      </c>
      <c r="N12">
        <v>18</v>
      </c>
      <c r="O12" t="s">
        <v>22</v>
      </c>
      <c r="P12">
        <f t="shared" si="4"/>
        <v>18</v>
      </c>
      <c r="Q12">
        <v>1</v>
      </c>
      <c r="R12">
        <v>1.2999999999999999E-2</v>
      </c>
      <c r="S12">
        <v>0.05</v>
      </c>
      <c r="T12">
        <f>LOOKUP(B12,Inlets!A:A,Inlets!V:V)</f>
        <v>1280.24</v>
      </c>
      <c r="U12">
        <f>LOOKUP(A12,Inlets!A:A,Inlets!V:V)</f>
        <v>1281.22</v>
      </c>
    </row>
    <row r="13" spans="1:21" x14ac:dyDescent="0.25">
      <c r="A13" t="s">
        <v>39</v>
      </c>
      <c r="B13" t="s">
        <v>37</v>
      </c>
      <c r="C13">
        <v>181</v>
      </c>
      <c r="D13">
        <v>0</v>
      </c>
      <c r="E13" t="s">
        <v>21</v>
      </c>
      <c r="F13">
        <f t="shared" si="0"/>
        <v>1.9111570247933884</v>
      </c>
      <c r="G13">
        <f t="shared" si="1"/>
        <v>0.31852617079889806</v>
      </c>
      <c r="H13">
        <v>0.8</v>
      </c>
      <c r="I13" t="s">
        <v>123</v>
      </c>
      <c r="J13">
        <f t="shared" si="2"/>
        <v>7.8528126595931642</v>
      </c>
      <c r="K13">
        <f>LOOKUP(B13,Inlets!A:A,Inlets!U:U)</f>
        <v>1275.69</v>
      </c>
      <c r="L13">
        <f t="shared" si="3"/>
        <v>1.2983425414364138E-2</v>
      </c>
      <c r="M13">
        <f>LOOKUP(A13,Inlets!A:A,Inlets!U:U)</f>
        <v>1278.04</v>
      </c>
      <c r="N13">
        <v>36</v>
      </c>
      <c r="O13" t="s">
        <v>22</v>
      </c>
      <c r="P13">
        <f t="shared" si="4"/>
        <v>36</v>
      </c>
      <c r="Q13">
        <v>1</v>
      </c>
      <c r="R13">
        <v>1.2999999999999999E-2</v>
      </c>
      <c r="S13">
        <v>0.05</v>
      </c>
      <c r="T13">
        <f>LOOKUP(B13,Inlets!A:A,Inlets!V:V)</f>
        <v>1281.1300000000001</v>
      </c>
      <c r="U13">
        <f>LOOKUP(A13,Inlets!A:A,Inlets!V:V)</f>
        <v>1283.99</v>
      </c>
    </row>
    <row r="14" spans="1:21" x14ac:dyDescent="0.25">
      <c r="A14" t="s">
        <v>40</v>
      </c>
      <c r="B14" t="s">
        <v>38</v>
      </c>
      <c r="C14">
        <v>196</v>
      </c>
      <c r="D14">
        <v>0</v>
      </c>
      <c r="E14" t="s">
        <v>21</v>
      </c>
      <c r="F14">
        <f t="shared" si="0"/>
        <v>2.0661157024793386</v>
      </c>
      <c r="G14">
        <f t="shared" si="1"/>
        <v>0.34435261707988979</v>
      </c>
      <c r="H14">
        <v>0.8</v>
      </c>
      <c r="I14" t="s">
        <v>123</v>
      </c>
      <c r="J14">
        <f t="shared" si="2"/>
        <v>8.1649658092772608</v>
      </c>
      <c r="K14">
        <f>LOOKUP(B14,Inlets!A:A,Inlets!U:U)</f>
        <v>1276.31</v>
      </c>
      <c r="L14">
        <f t="shared" si="3"/>
        <v>2.0255102040816465E-2</v>
      </c>
      <c r="M14">
        <f>LOOKUP(A14,Inlets!A:A,Inlets!U:U)</f>
        <v>1280.28</v>
      </c>
      <c r="N14">
        <v>18</v>
      </c>
      <c r="O14" t="s">
        <v>22</v>
      </c>
      <c r="P14">
        <f t="shared" si="4"/>
        <v>18</v>
      </c>
      <c r="Q14">
        <v>1</v>
      </c>
      <c r="R14">
        <v>1.2999999999999999E-2</v>
      </c>
      <c r="S14">
        <v>0.05</v>
      </c>
      <c r="T14">
        <f>LOOKUP(B14,Inlets!A:A,Inlets!V:V)</f>
        <v>1281.22</v>
      </c>
      <c r="U14">
        <f>LOOKUP(A14,Inlets!A:A,Inlets!V:V)</f>
        <v>1284.45</v>
      </c>
    </row>
    <row r="15" spans="1:21" x14ac:dyDescent="0.25">
      <c r="A15" t="s">
        <v>41</v>
      </c>
      <c r="B15" t="s">
        <v>40</v>
      </c>
      <c r="C15">
        <v>221</v>
      </c>
      <c r="D15">
        <v>0</v>
      </c>
      <c r="E15" t="s">
        <v>21</v>
      </c>
      <c r="F15">
        <f t="shared" si="0"/>
        <v>2.3243801652892566</v>
      </c>
      <c r="G15">
        <f t="shared" si="1"/>
        <v>0.38739669421487605</v>
      </c>
      <c r="H15">
        <v>0.8</v>
      </c>
      <c r="I15" t="s">
        <v>123</v>
      </c>
      <c r="J15">
        <f t="shared" si="2"/>
        <v>8.6602540378443873</v>
      </c>
      <c r="K15">
        <f>LOOKUP(B15,Inlets!A:A,Inlets!U:U)</f>
        <v>1280.28</v>
      </c>
      <c r="L15">
        <f t="shared" si="3"/>
        <v>3.3438914027149776E-2</v>
      </c>
      <c r="M15">
        <f>LOOKUP(A15,Inlets!A:A,Inlets!U:U)</f>
        <v>1287.67</v>
      </c>
      <c r="N15">
        <v>18</v>
      </c>
      <c r="O15" t="s">
        <v>22</v>
      </c>
      <c r="P15">
        <f t="shared" si="4"/>
        <v>18</v>
      </c>
      <c r="Q15">
        <v>1</v>
      </c>
      <c r="R15">
        <v>1.2999999999999999E-2</v>
      </c>
      <c r="S15">
        <v>0.05</v>
      </c>
      <c r="T15">
        <f>LOOKUP(B15,Inlets!A:A,Inlets!V:V)</f>
        <v>1284.45</v>
      </c>
      <c r="U15">
        <f>LOOKUP(A15,Inlets!A:A,Inlets!V:V)</f>
        <v>1291.5899999999999</v>
      </c>
    </row>
    <row r="16" spans="1:21" x14ac:dyDescent="0.25">
      <c r="A16" t="s">
        <v>42</v>
      </c>
      <c r="B16" t="s">
        <v>39</v>
      </c>
      <c r="C16">
        <v>261</v>
      </c>
      <c r="D16">
        <v>0</v>
      </c>
      <c r="E16" t="s">
        <v>21</v>
      </c>
      <c r="F16">
        <f t="shared" si="0"/>
        <v>2.7376033057851239</v>
      </c>
      <c r="G16">
        <f t="shared" si="1"/>
        <v>0.45626721763085398</v>
      </c>
      <c r="H16">
        <v>0.8</v>
      </c>
      <c r="I16" t="s">
        <v>123</v>
      </c>
      <c r="J16">
        <f t="shared" si="2"/>
        <v>9.3985814532477896</v>
      </c>
      <c r="K16">
        <f>LOOKUP(B16,Inlets!A:A,Inlets!U:U)</f>
        <v>1278.04</v>
      </c>
      <c r="L16">
        <f t="shared" si="3"/>
        <v>3.9157088122605467E-2</v>
      </c>
      <c r="M16">
        <f>LOOKUP(A16,Inlets!A:A,Inlets!U:U)</f>
        <v>1288.26</v>
      </c>
      <c r="N16">
        <v>18</v>
      </c>
      <c r="O16" t="s">
        <v>22</v>
      </c>
      <c r="P16">
        <f t="shared" si="4"/>
        <v>18</v>
      </c>
      <c r="Q16">
        <v>1</v>
      </c>
      <c r="R16">
        <v>1.2999999999999999E-2</v>
      </c>
      <c r="S16">
        <v>0.05</v>
      </c>
      <c r="T16">
        <f>LOOKUP(B16,Inlets!A:A,Inlets!V:V)</f>
        <v>1283.99</v>
      </c>
      <c r="U16">
        <f>LOOKUP(A16,Inlets!A:A,Inlets!V:V)</f>
        <v>1291.94</v>
      </c>
    </row>
    <row r="17" spans="1:21" x14ac:dyDescent="0.25">
      <c r="A17" t="s">
        <v>43</v>
      </c>
      <c r="B17" t="s">
        <v>42</v>
      </c>
      <c r="C17">
        <v>191</v>
      </c>
      <c r="D17">
        <v>0</v>
      </c>
      <c r="E17" t="s">
        <v>21</v>
      </c>
      <c r="F17">
        <f t="shared" si="0"/>
        <v>1.6632231404958677</v>
      </c>
      <c r="G17">
        <f t="shared" si="1"/>
        <v>0.27720385674931131</v>
      </c>
      <c r="H17">
        <v>0.8</v>
      </c>
      <c r="I17" t="s">
        <v>123</v>
      </c>
      <c r="J17">
        <f t="shared" si="2"/>
        <v>7.32575365861197</v>
      </c>
      <c r="K17">
        <f>LOOKUP(B17,Inlets!A:A,Inlets!U:U)</f>
        <v>1288.26</v>
      </c>
      <c r="L17">
        <f t="shared" si="3"/>
        <v>9.1099476439791046E-3</v>
      </c>
      <c r="M17">
        <f>LOOKUP(A17,Inlets!A:A,Inlets!U:U)</f>
        <v>1290</v>
      </c>
      <c r="N17">
        <v>18</v>
      </c>
      <c r="O17" t="s">
        <v>22</v>
      </c>
      <c r="P17">
        <f t="shared" si="4"/>
        <v>18</v>
      </c>
      <c r="Q17">
        <v>1</v>
      </c>
      <c r="R17">
        <v>1.2999999999999999E-2</v>
      </c>
      <c r="S17">
        <v>0.05</v>
      </c>
      <c r="T17">
        <f>LOOKUP(B17,Inlets!A:A,Inlets!V:V)</f>
        <v>1291.94</v>
      </c>
      <c r="U17">
        <f>LOOKUP(A17,Inlets!A:A,Inlets!V:V)</f>
        <v>1295</v>
      </c>
    </row>
    <row r="18" spans="1:21" x14ac:dyDescent="0.25">
      <c r="A18" t="s">
        <v>44</v>
      </c>
      <c r="B18" t="s">
        <v>41</v>
      </c>
      <c r="C18">
        <v>396</v>
      </c>
      <c r="D18">
        <v>0</v>
      </c>
      <c r="E18" t="s">
        <v>21</v>
      </c>
      <c r="F18">
        <f t="shared" si="0"/>
        <v>4.1322314049586772</v>
      </c>
      <c r="G18">
        <f t="shared" si="1"/>
        <v>0.68870523415977958</v>
      </c>
      <c r="H18">
        <v>0.8</v>
      </c>
      <c r="I18" t="s">
        <v>123</v>
      </c>
      <c r="J18">
        <f t="shared" si="2"/>
        <v>11.547005383792515</v>
      </c>
      <c r="K18">
        <f>LOOKUP(B18,Inlets!A:A,Inlets!U:U)</f>
        <v>1287.67</v>
      </c>
      <c r="L18">
        <f t="shared" si="3"/>
        <v>7.7525252525250917E-3</v>
      </c>
      <c r="M18">
        <f>LOOKUP(A18,Inlets!A:A,Inlets!U:U)</f>
        <v>1290.74</v>
      </c>
      <c r="N18">
        <v>18</v>
      </c>
      <c r="O18" t="s">
        <v>22</v>
      </c>
      <c r="P18">
        <f t="shared" si="4"/>
        <v>18</v>
      </c>
      <c r="Q18">
        <v>1</v>
      </c>
      <c r="R18">
        <v>1.2999999999999999E-2</v>
      </c>
      <c r="S18">
        <v>0.05</v>
      </c>
      <c r="T18">
        <f>LOOKUP(B18,Inlets!A:A,Inlets!V:V)</f>
        <v>1291.5899999999999</v>
      </c>
      <c r="U18">
        <f>LOOKUP(A18,Inlets!A:A,Inlets!V:V)</f>
        <v>1294.3499999999999</v>
      </c>
    </row>
    <row r="19" spans="1:21" x14ac:dyDescent="0.25">
      <c r="A19" t="s">
        <v>45</v>
      </c>
      <c r="B19" t="s">
        <v>46</v>
      </c>
      <c r="C19">
        <v>61</v>
      </c>
      <c r="D19">
        <v>0</v>
      </c>
      <c r="E19" t="s">
        <v>21</v>
      </c>
      <c r="F19">
        <f t="shared" si="0"/>
        <v>0.30000000000000004</v>
      </c>
      <c r="G19">
        <f t="shared" si="1"/>
        <v>0.05</v>
      </c>
      <c r="H19">
        <v>0.8</v>
      </c>
      <c r="I19" t="s">
        <v>123</v>
      </c>
      <c r="J19">
        <f t="shared" si="2"/>
        <v>5</v>
      </c>
      <c r="K19">
        <f>LOOKUP(B19,Inlets!A:A,Inlets!U:U)</f>
        <v>1272.67</v>
      </c>
      <c r="L19">
        <f t="shared" si="3"/>
        <v>7.2459016393440087E-2</v>
      </c>
      <c r="M19">
        <f>LOOKUP(A19,Inlets!A:A,Inlets!U:U)</f>
        <v>1277.0899999999999</v>
      </c>
      <c r="N19">
        <v>18</v>
      </c>
      <c r="O19" t="s">
        <v>22</v>
      </c>
      <c r="P19">
        <f t="shared" si="4"/>
        <v>18</v>
      </c>
      <c r="Q19">
        <v>1</v>
      </c>
      <c r="R19">
        <v>1.2999999999999999E-2</v>
      </c>
      <c r="S19">
        <v>0.05</v>
      </c>
      <c r="T19">
        <f>LOOKUP(B19,Inlets!A:A,Inlets!V:V)</f>
        <v>1276.77</v>
      </c>
      <c r="U19">
        <f>LOOKUP(A19,Inlets!A:A,Inlets!V:V)</f>
        <v>1280.6400000000001</v>
      </c>
    </row>
    <row r="20" spans="1:21" x14ac:dyDescent="0.25">
      <c r="A20" t="s">
        <v>46</v>
      </c>
      <c r="B20" t="s">
        <v>110</v>
      </c>
      <c r="C20">
        <v>226</v>
      </c>
      <c r="D20">
        <v>0</v>
      </c>
      <c r="E20" t="s">
        <v>21</v>
      </c>
      <c r="F20">
        <f t="shared" si="0"/>
        <v>0.30000000000000004</v>
      </c>
      <c r="G20">
        <v>0.05</v>
      </c>
      <c r="H20">
        <v>0.8</v>
      </c>
      <c r="I20" t="s">
        <v>123</v>
      </c>
      <c r="J20">
        <f t="shared" si="2"/>
        <v>5</v>
      </c>
      <c r="K20">
        <v>1272</v>
      </c>
      <c r="L20">
        <f t="shared" si="3"/>
        <v>2.9646017699118264E-3</v>
      </c>
      <c r="M20">
        <f>LOOKUP(A20,Inlets!A:A,Inlets!U:U)</f>
        <v>1272.67</v>
      </c>
      <c r="N20">
        <v>18</v>
      </c>
      <c r="O20" t="s">
        <v>22</v>
      </c>
      <c r="P20">
        <f t="shared" si="4"/>
        <v>18</v>
      </c>
      <c r="Q20">
        <v>1</v>
      </c>
      <c r="R20">
        <v>1.2999999999999999E-2</v>
      </c>
      <c r="S20">
        <v>0.05</v>
      </c>
      <c r="T20">
        <f>LOOKUP(B20,Inlets!A:A,Inlets!V:V)</f>
        <v>1289</v>
      </c>
      <c r="U20">
        <f>LOOKUP(A20,Inlets!A:A,Inlets!V:V)</f>
        <v>1276.77</v>
      </c>
    </row>
    <row r="21" spans="1:21" x14ac:dyDescent="0.25">
      <c r="A21" t="s">
        <v>47</v>
      </c>
      <c r="B21" t="s">
        <v>49</v>
      </c>
      <c r="C21">
        <v>75</v>
      </c>
      <c r="D21">
        <v>0</v>
      </c>
      <c r="E21" t="s">
        <v>21</v>
      </c>
      <c r="F21">
        <f t="shared" si="0"/>
        <v>0.30000000000000004</v>
      </c>
      <c r="G21">
        <f t="shared" si="1"/>
        <v>0.05</v>
      </c>
      <c r="H21">
        <v>0.8</v>
      </c>
      <c r="I21" t="s">
        <v>123</v>
      </c>
      <c r="J21">
        <f t="shared" si="2"/>
        <v>5</v>
      </c>
      <c r="K21">
        <f>LOOKUP(B21,Inlets!A:A,Inlets!U:U)</f>
        <v>1271.2</v>
      </c>
      <c r="L21">
        <f t="shared" si="3"/>
        <v>4.6666666666654536E-3</v>
      </c>
      <c r="M21">
        <f>LOOKUP(A21,Inlets!A:A,Inlets!U:U)</f>
        <v>1271.55</v>
      </c>
      <c r="N21">
        <v>40</v>
      </c>
      <c r="O21" t="s">
        <v>111</v>
      </c>
      <c r="P21">
        <v>65</v>
      </c>
      <c r="Q21">
        <v>1</v>
      </c>
      <c r="R21">
        <v>1.2999999999999999E-2</v>
      </c>
      <c r="S21">
        <v>0.05</v>
      </c>
      <c r="T21">
        <f>LOOKUP(B21,Inlets!A:A,Inlets!V:V)</f>
        <v>1278.6400000000001</v>
      </c>
      <c r="U21">
        <f>LOOKUP(A21,Inlets!A:A,Inlets!V:V)</f>
        <v>1278.44</v>
      </c>
    </row>
    <row r="22" spans="1:21" x14ac:dyDescent="0.25">
      <c r="A22" t="s">
        <v>49</v>
      </c>
      <c r="B22" t="s">
        <v>110</v>
      </c>
      <c r="C22">
        <v>50</v>
      </c>
      <c r="D22">
        <v>0</v>
      </c>
      <c r="E22" t="s">
        <v>21</v>
      </c>
      <c r="F22">
        <f t="shared" si="0"/>
        <v>0.30000000000000004</v>
      </c>
      <c r="G22">
        <v>0.05</v>
      </c>
      <c r="H22">
        <v>0.8</v>
      </c>
      <c r="I22" t="s">
        <v>123</v>
      </c>
      <c r="J22">
        <f t="shared" si="2"/>
        <v>5</v>
      </c>
      <c r="K22">
        <v>1270</v>
      </c>
      <c r="L22">
        <f t="shared" si="3"/>
        <v>2.4000000000000909E-2</v>
      </c>
      <c r="M22">
        <f>LOOKUP(A22,Inlets!A:A,Inlets!U:U)</f>
        <v>1271.2</v>
      </c>
      <c r="N22">
        <v>54</v>
      </c>
      <c r="O22" t="s">
        <v>22</v>
      </c>
      <c r="P22">
        <f t="shared" si="4"/>
        <v>54</v>
      </c>
      <c r="Q22">
        <v>1</v>
      </c>
      <c r="R22">
        <v>1.2999999999999999E-2</v>
      </c>
      <c r="S22">
        <v>0.05</v>
      </c>
      <c r="T22">
        <f>LOOKUP(B22,Inlets!A:A,Inlets!V:V)</f>
        <v>1289</v>
      </c>
      <c r="U22">
        <f>LOOKUP(A22,Inlets!A:A,Inlets!V:V)</f>
        <v>1278.6400000000001</v>
      </c>
    </row>
    <row r="23" spans="1:21" x14ac:dyDescent="0.25">
      <c r="A23" t="s">
        <v>50</v>
      </c>
      <c r="B23" t="s">
        <v>49</v>
      </c>
      <c r="C23">
        <v>55</v>
      </c>
      <c r="D23">
        <v>0</v>
      </c>
      <c r="E23" t="s">
        <v>21</v>
      </c>
      <c r="F23">
        <f t="shared" si="0"/>
        <v>0.63016528925619841</v>
      </c>
      <c r="G23">
        <f t="shared" si="1"/>
        <v>0.1050275482093664</v>
      </c>
      <c r="H23">
        <v>0.8</v>
      </c>
      <c r="I23" t="s">
        <v>123</v>
      </c>
      <c r="J23">
        <f t="shared" si="2"/>
        <v>5</v>
      </c>
      <c r="K23">
        <f>LOOKUP(B23,Inlets!A:A,Inlets!U:U)</f>
        <v>1271.2</v>
      </c>
      <c r="L23">
        <f t="shared" si="3"/>
        <v>3.2545454545453885E-2</v>
      </c>
      <c r="M23">
        <f>LOOKUP(A23,Inlets!A:A,Inlets!U:U)</f>
        <v>1272.99</v>
      </c>
      <c r="N23">
        <v>24</v>
      </c>
      <c r="O23" t="s">
        <v>22</v>
      </c>
      <c r="P23">
        <f t="shared" si="4"/>
        <v>24</v>
      </c>
      <c r="Q23">
        <v>1</v>
      </c>
      <c r="R23">
        <v>1.2999999999999999E-2</v>
      </c>
      <c r="S23">
        <v>0.05</v>
      </c>
      <c r="T23">
        <f>LOOKUP(B23,Inlets!A:A,Inlets!V:V)</f>
        <v>1278.6400000000001</v>
      </c>
      <c r="U23">
        <f>LOOKUP(A23,Inlets!A:A,Inlets!V:V)</f>
        <v>1278.53</v>
      </c>
    </row>
    <row r="24" spans="1:21" x14ac:dyDescent="0.25">
      <c r="A24" t="s">
        <v>51</v>
      </c>
      <c r="B24" t="s">
        <v>47</v>
      </c>
      <c r="C24">
        <v>65</v>
      </c>
      <c r="D24">
        <v>0</v>
      </c>
      <c r="E24" t="s">
        <v>21</v>
      </c>
      <c r="F24">
        <f t="shared" si="0"/>
        <v>0.74380165289256206</v>
      </c>
      <c r="G24">
        <f t="shared" si="1"/>
        <v>0.12396694214876033</v>
      </c>
      <c r="H24">
        <v>0.8</v>
      </c>
      <c r="I24" t="s">
        <v>123</v>
      </c>
      <c r="J24">
        <f t="shared" si="2"/>
        <v>5</v>
      </c>
      <c r="K24">
        <f>LOOKUP(B24,Inlets!A:A,Inlets!U:U)</f>
        <v>1271.55</v>
      </c>
      <c r="L24">
        <f t="shared" si="3"/>
        <v>5.0769230769254553E-3</v>
      </c>
      <c r="M24">
        <f>LOOKUP(A24,Inlets!A:A,Inlets!U:U)</f>
        <v>1271.8800000000001</v>
      </c>
      <c r="N24">
        <v>48</v>
      </c>
      <c r="O24" t="s">
        <v>22</v>
      </c>
      <c r="P24">
        <f t="shared" si="4"/>
        <v>48</v>
      </c>
      <c r="Q24">
        <v>1</v>
      </c>
      <c r="R24">
        <v>1.2999999999999999E-2</v>
      </c>
      <c r="S24">
        <v>0.05</v>
      </c>
      <c r="T24">
        <f>LOOKUP(B24,Inlets!A:A,Inlets!V:V)</f>
        <v>1278.44</v>
      </c>
      <c r="U24">
        <f>LOOKUP(A24,Inlets!A:A,Inlets!V:V)</f>
        <v>1278.3</v>
      </c>
    </row>
    <row r="25" spans="1:21" x14ac:dyDescent="0.25">
      <c r="A25" t="s">
        <v>52</v>
      </c>
      <c r="B25" t="s">
        <v>51</v>
      </c>
      <c r="C25">
        <v>4</v>
      </c>
      <c r="D25">
        <v>0</v>
      </c>
      <c r="E25" t="s">
        <v>21</v>
      </c>
      <c r="F25">
        <f t="shared" si="0"/>
        <v>0.30000000000000004</v>
      </c>
      <c r="G25">
        <f t="shared" si="1"/>
        <v>0.05</v>
      </c>
      <c r="H25">
        <v>0.8</v>
      </c>
      <c r="I25" t="s">
        <v>123</v>
      </c>
      <c r="J25">
        <f t="shared" si="2"/>
        <v>5</v>
      </c>
      <c r="K25">
        <f>LOOKUP(B25,Inlets!A:A,Inlets!U:U)</f>
        <v>1271.8800000000001</v>
      </c>
      <c r="L25">
        <f t="shared" si="3"/>
        <v>4.9999999999954525E-3</v>
      </c>
      <c r="M25">
        <f>LOOKUP(A25,Inlets!A:A,Inlets!U:U)</f>
        <v>1271.9000000000001</v>
      </c>
      <c r="N25">
        <v>48</v>
      </c>
      <c r="O25" t="s">
        <v>22</v>
      </c>
      <c r="P25">
        <f t="shared" si="4"/>
        <v>48</v>
      </c>
      <c r="Q25">
        <v>1</v>
      </c>
      <c r="R25">
        <v>1.2999999999999999E-2</v>
      </c>
      <c r="S25">
        <v>0.05</v>
      </c>
      <c r="T25">
        <f>LOOKUP(B25,Inlets!A:A,Inlets!V:V)</f>
        <v>1278.3</v>
      </c>
      <c r="U25">
        <f>LOOKUP(A25,Inlets!A:A,Inlets!V:V)</f>
        <v>1278.3</v>
      </c>
    </row>
    <row r="26" spans="1:21" x14ac:dyDescent="0.25">
      <c r="A26" t="s">
        <v>53</v>
      </c>
      <c r="B26" t="s">
        <v>52</v>
      </c>
      <c r="C26">
        <v>26</v>
      </c>
      <c r="D26">
        <v>0</v>
      </c>
      <c r="E26" t="s">
        <v>21</v>
      </c>
      <c r="F26">
        <f t="shared" si="0"/>
        <v>0.33057851239669422</v>
      </c>
      <c r="G26">
        <f t="shared" si="1"/>
        <v>5.5096418732782371E-2</v>
      </c>
      <c r="H26">
        <v>0.8</v>
      </c>
      <c r="I26" t="s">
        <v>123</v>
      </c>
      <c r="J26">
        <f t="shared" si="2"/>
        <v>5</v>
      </c>
      <c r="K26">
        <f>LOOKUP(B26,Inlets!A:A,Inlets!U:U)</f>
        <v>1271.9000000000001</v>
      </c>
      <c r="L26">
        <f t="shared" si="3"/>
        <v>4.9999999999954525E-3</v>
      </c>
      <c r="M26">
        <f>LOOKUP(A26,Inlets!A:A,Inlets!U:U)</f>
        <v>1272.03</v>
      </c>
      <c r="N26">
        <v>48</v>
      </c>
      <c r="O26" t="s">
        <v>22</v>
      </c>
      <c r="P26">
        <f t="shared" si="4"/>
        <v>48</v>
      </c>
      <c r="Q26">
        <v>1</v>
      </c>
      <c r="R26">
        <v>1.2999999999999999E-2</v>
      </c>
      <c r="S26">
        <v>0.05</v>
      </c>
      <c r="T26">
        <f>LOOKUP(B26,Inlets!A:A,Inlets!V:V)</f>
        <v>1278.3</v>
      </c>
      <c r="U26">
        <f>LOOKUP(A26,Inlets!A:A,Inlets!V:V)</f>
        <v>1278.33</v>
      </c>
    </row>
    <row r="27" spans="1:21" x14ac:dyDescent="0.25">
      <c r="A27" t="s">
        <v>54</v>
      </c>
      <c r="B27" t="s">
        <v>50</v>
      </c>
      <c r="C27">
        <v>55</v>
      </c>
      <c r="D27">
        <v>0</v>
      </c>
      <c r="E27" t="s">
        <v>21</v>
      </c>
      <c r="F27">
        <f t="shared" si="0"/>
        <v>0.59917355371900827</v>
      </c>
      <c r="G27">
        <f t="shared" si="1"/>
        <v>9.986225895316804E-2</v>
      </c>
      <c r="H27">
        <v>0.8</v>
      </c>
      <c r="I27" t="s">
        <v>123</v>
      </c>
      <c r="J27">
        <f t="shared" si="2"/>
        <v>5</v>
      </c>
      <c r="K27">
        <f>LOOKUP(B27,Inlets!A:A,Inlets!U:U)</f>
        <v>1272.99</v>
      </c>
      <c r="L27">
        <f t="shared" si="3"/>
        <v>5.9999999999986774E-3</v>
      </c>
      <c r="M27">
        <f>LOOKUP(A27,Inlets!A:A,Inlets!U:U)</f>
        <v>1273.32</v>
      </c>
      <c r="N27">
        <v>24</v>
      </c>
      <c r="O27" t="s">
        <v>22</v>
      </c>
      <c r="P27">
        <f t="shared" si="4"/>
        <v>24</v>
      </c>
      <c r="Q27">
        <v>1</v>
      </c>
      <c r="R27">
        <v>1.2999999999999999E-2</v>
      </c>
      <c r="S27">
        <v>0.05</v>
      </c>
      <c r="T27">
        <f>LOOKUP(B27,Inlets!A:A,Inlets!V:V)</f>
        <v>1278.53</v>
      </c>
      <c r="U27">
        <f>LOOKUP(A27,Inlets!A:A,Inlets!V:V)</f>
        <v>1278.55</v>
      </c>
    </row>
    <row r="28" spans="1:21" x14ac:dyDescent="0.25">
      <c r="A28" t="s">
        <v>55</v>
      </c>
      <c r="B28" t="s">
        <v>54</v>
      </c>
      <c r="C28">
        <v>182</v>
      </c>
      <c r="D28">
        <v>0</v>
      </c>
      <c r="E28" t="s">
        <v>21</v>
      </c>
      <c r="F28">
        <f t="shared" si="0"/>
        <v>1.9214876033057853</v>
      </c>
      <c r="G28">
        <f t="shared" si="1"/>
        <v>0.32024793388429751</v>
      </c>
      <c r="H28">
        <v>0.8</v>
      </c>
      <c r="I28" t="s">
        <v>123</v>
      </c>
      <c r="J28">
        <f t="shared" si="2"/>
        <v>7.8740078740118111</v>
      </c>
      <c r="K28">
        <f>LOOKUP(B28,Inlets!A:A,Inlets!U:U)</f>
        <v>1273.32</v>
      </c>
      <c r="L28">
        <f t="shared" si="3"/>
        <v>5.4395604395604891E-3</v>
      </c>
      <c r="M28">
        <f>LOOKUP(A28,Inlets!A:A,Inlets!U:U)</f>
        <v>1274.31</v>
      </c>
      <c r="N28">
        <v>24</v>
      </c>
      <c r="O28" t="s">
        <v>22</v>
      </c>
      <c r="P28">
        <f t="shared" si="4"/>
        <v>24</v>
      </c>
      <c r="Q28">
        <v>1</v>
      </c>
      <c r="R28">
        <v>1.2999999999999999E-2</v>
      </c>
      <c r="S28">
        <v>0.05</v>
      </c>
      <c r="T28">
        <f>LOOKUP(B28,Inlets!A:A,Inlets!V:V)</f>
        <v>1278.55</v>
      </c>
      <c r="U28">
        <f>LOOKUP(A28,Inlets!A:A,Inlets!V:V)</f>
        <v>1279.51</v>
      </c>
    </row>
    <row r="29" spans="1:21" x14ac:dyDescent="0.25">
      <c r="A29" t="s">
        <v>112</v>
      </c>
      <c r="B29" t="s">
        <v>53</v>
      </c>
      <c r="C29">
        <v>187</v>
      </c>
      <c r="D29">
        <v>0</v>
      </c>
      <c r="E29" t="s">
        <v>21</v>
      </c>
      <c r="F29">
        <f t="shared" si="0"/>
        <v>1.9938016528925619</v>
      </c>
      <c r="G29">
        <f t="shared" si="1"/>
        <v>0.33230027548209368</v>
      </c>
      <c r="H29">
        <v>0.8</v>
      </c>
      <c r="I29" t="s">
        <v>123</v>
      </c>
      <c r="J29">
        <f t="shared" si="2"/>
        <v>8.0208062770106423</v>
      </c>
      <c r="K29">
        <f>LOOKUP(B29,Inlets!A:A,Inlets!U:U)</f>
        <v>1272.03</v>
      </c>
      <c r="L29">
        <f t="shared" si="3"/>
        <v>1.2192513368983811E-2</v>
      </c>
      <c r="M29">
        <f>LOOKUP(A29,Inlets!A:A,Inlets!U:U)</f>
        <v>1274.31</v>
      </c>
      <c r="N29">
        <v>48</v>
      </c>
      <c r="O29" t="s">
        <v>22</v>
      </c>
      <c r="P29">
        <f t="shared" si="4"/>
        <v>48</v>
      </c>
      <c r="Q29">
        <v>1</v>
      </c>
      <c r="R29">
        <v>1.2999999999999999E-2</v>
      </c>
      <c r="S29">
        <v>0.05</v>
      </c>
      <c r="T29">
        <f>LOOKUP(B29,Inlets!A:A,Inlets!V:V)</f>
        <v>1278.33</v>
      </c>
      <c r="U29">
        <f>LOOKUP(A29,Inlets!A:A,Inlets!V:V)</f>
        <v>1279.51</v>
      </c>
    </row>
    <row r="30" spans="1:21" x14ac:dyDescent="0.25">
      <c r="A30" t="s">
        <v>57</v>
      </c>
      <c r="B30" t="s">
        <v>56</v>
      </c>
      <c r="C30">
        <v>136</v>
      </c>
      <c r="D30">
        <v>0</v>
      </c>
      <c r="E30" t="s">
        <v>21</v>
      </c>
      <c r="F30">
        <f t="shared" si="0"/>
        <v>1.4876033057851241</v>
      </c>
      <c r="G30">
        <f t="shared" si="1"/>
        <v>0.24793388429752067</v>
      </c>
      <c r="H30">
        <v>0.8</v>
      </c>
      <c r="I30" t="s">
        <v>123</v>
      </c>
      <c r="J30">
        <f t="shared" si="2"/>
        <v>6.9282032302755097</v>
      </c>
      <c r="K30">
        <f>LOOKUP(B30,Inlets!A:A,Inlets!U:U)</f>
        <v>1272.8900000000001</v>
      </c>
      <c r="L30">
        <f t="shared" si="3"/>
        <v>5.5147058823529415E-3</v>
      </c>
      <c r="M30">
        <f>LOOKUP(A30,Inlets!A:A,Inlets!U:U)</f>
        <v>1273.6400000000001</v>
      </c>
      <c r="N30">
        <v>48</v>
      </c>
      <c r="O30" t="s">
        <v>22</v>
      </c>
      <c r="P30">
        <f t="shared" si="4"/>
        <v>48</v>
      </c>
      <c r="Q30">
        <v>1</v>
      </c>
      <c r="R30">
        <v>1.2999999999999999E-2</v>
      </c>
      <c r="S30">
        <v>0.05</v>
      </c>
      <c r="T30">
        <f>LOOKUP(B30,Inlets!A:A,Inlets!V:V)</f>
        <v>1279.28</v>
      </c>
      <c r="U30">
        <f>LOOKUP(A30,Inlets!A:A,Inlets!V:V)</f>
        <v>1279.78</v>
      </c>
    </row>
    <row r="31" spans="1:21" x14ac:dyDescent="0.25">
      <c r="A31" t="s">
        <v>58</v>
      </c>
      <c r="B31" t="s">
        <v>55</v>
      </c>
      <c r="C31">
        <v>20</v>
      </c>
      <c r="D31">
        <v>0</v>
      </c>
      <c r="E31" t="s">
        <v>29</v>
      </c>
      <c r="F31">
        <f t="shared" si="0"/>
        <v>1.694214876033058</v>
      </c>
      <c r="G31">
        <f t="shared" si="1"/>
        <v>0.28236914600550966</v>
      </c>
      <c r="H31">
        <v>0.8</v>
      </c>
      <c r="I31" t="s">
        <v>123</v>
      </c>
      <c r="J31">
        <f t="shared" si="2"/>
        <v>7.393691004272946</v>
      </c>
      <c r="K31">
        <f>LOOKUP(B31,Inlets!A:A,Inlets!U:U)</f>
        <v>1274.31</v>
      </c>
      <c r="L31">
        <f>(M31-K31)/C31</f>
        <v>5.6500000000005456E-2</v>
      </c>
      <c r="M31">
        <f>LOOKUP(A31,Inlets!A:A,Inlets!U:U)</f>
        <v>1275.44</v>
      </c>
      <c r="N31">
        <v>18</v>
      </c>
      <c r="O31" t="s">
        <v>22</v>
      </c>
      <c r="P31">
        <f t="shared" si="4"/>
        <v>18</v>
      </c>
      <c r="Q31">
        <v>1</v>
      </c>
      <c r="R31">
        <v>1.2999999999999999E-2</v>
      </c>
      <c r="S31">
        <v>0.05</v>
      </c>
      <c r="T31">
        <f>LOOKUP(B31,Inlets!A:A,Inlets!V:V)</f>
        <v>1279.51</v>
      </c>
      <c r="U31">
        <f>LOOKUP(A31,Inlets!A:A,Inlets!V:V)</f>
        <v>1280.48</v>
      </c>
    </row>
    <row r="32" spans="1:21" x14ac:dyDescent="0.25">
      <c r="A32" t="s">
        <v>59</v>
      </c>
      <c r="B32" t="s">
        <v>55</v>
      </c>
      <c r="C32">
        <v>165</v>
      </c>
      <c r="D32">
        <v>0</v>
      </c>
      <c r="E32" t="s">
        <v>21</v>
      </c>
      <c r="F32">
        <f t="shared" si="0"/>
        <v>1.7458677685950414</v>
      </c>
      <c r="G32">
        <f t="shared" si="1"/>
        <v>0.29097796143250687</v>
      </c>
      <c r="H32">
        <v>0.8</v>
      </c>
      <c r="I32" t="s">
        <v>123</v>
      </c>
      <c r="J32">
        <f t="shared" si="2"/>
        <v>7.5055534994651349</v>
      </c>
      <c r="K32">
        <f>LOOKUP(B32,Inlets!A:A,Inlets!U:U)</f>
        <v>1274.31</v>
      </c>
      <c r="L32">
        <f t="shared" si="3"/>
        <v>6.8484848484855103E-3</v>
      </c>
      <c r="M32">
        <f>LOOKUP(A32,Inlets!A:A,Inlets!U:U)</f>
        <v>1275.44</v>
      </c>
      <c r="N32">
        <v>24</v>
      </c>
      <c r="O32" t="s">
        <v>22</v>
      </c>
      <c r="P32">
        <f t="shared" si="4"/>
        <v>24</v>
      </c>
      <c r="Q32">
        <v>1</v>
      </c>
      <c r="R32">
        <v>1.2999999999999999E-2</v>
      </c>
      <c r="S32">
        <v>0.05</v>
      </c>
      <c r="T32">
        <f>LOOKUP(B32,Inlets!A:A,Inlets!V:V)</f>
        <v>1279.51</v>
      </c>
      <c r="U32">
        <f>LOOKUP(A32,Inlets!A:A,Inlets!V:V)</f>
        <v>1280.48</v>
      </c>
    </row>
    <row r="33" spans="1:21" x14ac:dyDescent="0.25">
      <c r="A33" t="s">
        <v>60</v>
      </c>
      <c r="B33" t="s">
        <v>58</v>
      </c>
      <c r="C33">
        <v>44</v>
      </c>
      <c r="D33">
        <v>0</v>
      </c>
      <c r="E33" t="s">
        <v>29</v>
      </c>
      <c r="F33">
        <f t="shared" si="0"/>
        <v>0.49586776859504139</v>
      </c>
      <c r="G33">
        <f t="shared" si="1"/>
        <v>8.2644628099173556E-2</v>
      </c>
      <c r="H33">
        <v>0.8</v>
      </c>
      <c r="I33" t="s">
        <v>123</v>
      </c>
      <c r="J33">
        <f t="shared" si="2"/>
        <v>5</v>
      </c>
      <c r="K33">
        <f>LOOKUP(B33,Inlets!A:A,Inlets!U:U)</f>
        <v>1275.44</v>
      </c>
      <c r="L33">
        <f t="shared" si="3"/>
        <v>7.0454545454533054E-3</v>
      </c>
      <c r="M33">
        <f>LOOKUP(A33,Inlets!A:A,Inlets!U:U)</f>
        <v>1275.75</v>
      </c>
      <c r="N33">
        <v>18</v>
      </c>
      <c r="O33" t="s">
        <v>22</v>
      </c>
      <c r="P33">
        <f t="shared" si="4"/>
        <v>18</v>
      </c>
      <c r="Q33">
        <v>1</v>
      </c>
      <c r="R33">
        <v>1.2999999999999999E-2</v>
      </c>
      <c r="S33">
        <v>0.05</v>
      </c>
      <c r="T33">
        <f>LOOKUP(B33,Inlets!A:A,Inlets!V:V)</f>
        <v>1280.48</v>
      </c>
      <c r="U33">
        <f>LOOKUP(A33,Inlets!A:A,Inlets!V:V)</f>
        <v>1280.02</v>
      </c>
    </row>
    <row r="34" spans="1:21" x14ac:dyDescent="0.25">
      <c r="A34" t="s">
        <v>61</v>
      </c>
      <c r="B34" t="s">
        <v>57</v>
      </c>
      <c r="C34">
        <v>89</v>
      </c>
      <c r="D34">
        <v>0</v>
      </c>
      <c r="E34" t="s">
        <v>21</v>
      </c>
      <c r="F34">
        <f t="shared" si="0"/>
        <v>1.0227272727272727</v>
      </c>
      <c r="G34">
        <f t="shared" si="1"/>
        <v>0.17045454545454544</v>
      </c>
      <c r="H34">
        <v>0.8</v>
      </c>
      <c r="I34" t="s">
        <v>123</v>
      </c>
      <c r="J34">
        <f t="shared" si="2"/>
        <v>5.7445626465380286</v>
      </c>
      <c r="K34">
        <f>LOOKUP(B34,Inlets!A:A,Inlets!U:U)</f>
        <v>1273.6400000000001</v>
      </c>
      <c r="L34">
        <f t="shared" si="3"/>
        <v>5.2808988764022459E-3</v>
      </c>
      <c r="M34">
        <f>LOOKUP(A34,Inlets!A:A,Inlets!U:U)</f>
        <v>1274.1099999999999</v>
      </c>
      <c r="N34">
        <v>36</v>
      </c>
      <c r="O34" t="s">
        <v>111</v>
      </c>
      <c r="P34">
        <v>59</v>
      </c>
      <c r="Q34">
        <v>1</v>
      </c>
      <c r="R34">
        <v>1.2999999999999999E-2</v>
      </c>
      <c r="S34">
        <v>0.05</v>
      </c>
      <c r="T34">
        <f>LOOKUP(B34,Inlets!A:A,Inlets!V:V)</f>
        <v>1279.78</v>
      </c>
      <c r="U34">
        <f>LOOKUP(A34,Inlets!A:A,Inlets!V:V)</f>
        <v>1280.81</v>
      </c>
    </row>
    <row r="35" spans="1:21" x14ac:dyDescent="0.25">
      <c r="A35" t="s">
        <v>62</v>
      </c>
      <c r="B35" t="s">
        <v>61</v>
      </c>
      <c r="C35">
        <v>23</v>
      </c>
      <c r="D35">
        <v>0</v>
      </c>
      <c r="E35" t="s">
        <v>113</v>
      </c>
      <c r="F35">
        <f t="shared" si="0"/>
        <v>0.30000000000000004</v>
      </c>
      <c r="G35">
        <f t="shared" si="1"/>
        <v>0.05</v>
      </c>
      <c r="H35">
        <v>0.8</v>
      </c>
      <c r="I35" t="s">
        <v>123</v>
      </c>
      <c r="J35">
        <f t="shared" si="2"/>
        <v>5</v>
      </c>
      <c r="K35">
        <f>LOOKUP(B35,Inlets!A:A,Inlets!U:U)</f>
        <v>1274.1099999999999</v>
      </c>
      <c r="L35">
        <f t="shared" si="3"/>
        <v>9.5217391304350196E-2</v>
      </c>
      <c r="M35">
        <f>LOOKUP(A35,Inlets!A:A,Inlets!U:U)</f>
        <v>1276.3</v>
      </c>
      <c r="N35">
        <v>18</v>
      </c>
      <c r="O35" t="s">
        <v>22</v>
      </c>
      <c r="P35">
        <f t="shared" si="4"/>
        <v>18</v>
      </c>
      <c r="Q35">
        <v>1</v>
      </c>
      <c r="R35">
        <v>1.2999999999999999E-2</v>
      </c>
      <c r="S35">
        <v>0.05</v>
      </c>
      <c r="T35">
        <f>LOOKUP(B35,Inlets!A:A,Inlets!V:V)</f>
        <v>1280.81</v>
      </c>
      <c r="U35">
        <f>LOOKUP(A35,Inlets!A:A,Inlets!V:V)</f>
        <v>1280.3499999999999</v>
      </c>
    </row>
    <row r="36" spans="1:21" x14ac:dyDescent="0.25">
      <c r="A36" t="s">
        <v>63</v>
      </c>
      <c r="B36" t="s">
        <v>62</v>
      </c>
      <c r="C36">
        <v>75</v>
      </c>
      <c r="D36">
        <v>0</v>
      </c>
      <c r="E36" t="s">
        <v>21</v>
      </c>
      <c r="F36">
        <f t="shared" si="0"/>
        <v>0.81611570247933884</v>
      </c>
      <c r="G36">
        <f t="shared" si="1"/>
        <v>0.13601928374655647</v>
      </c>
      <c r="H36">
        <v>0.8</v>
      </c>
      <c r="I36" t="s">
        <v>123</v>
      </c>
      <c r="J36">
        <f t="shared" si="2"/>
        <v>5.1316014394468841</v>
      </c>
      <c r="K36">
        <f>LOOKUP(B36,Inlets!A:A,Inlets!U:U)</f>
        <v>1276.3</v>
      </c>
      <c r="L36">
        <f t="shared" si="3"/>
        <v>1.6000000000000607E-2</v>
      </c>
      <c r="M36">
        <f>LOOKUP(A36,Inlets!A:A,Inlets!U:U)</f>
        <v>1277.5</v>
      </c>
      <c r="N36">
        <v>18</v>
      </c>
      <c r="O36" t="s">
        <v>22</v>
      </c>
      <c r="P36">
        <f t="shared" si="4"/>
        <v>18</v>
      </c>
      <c r="Q36">
        <v>1</v>
      </c>
      <c r="R36">
        <v>1.2999999999999999E-2</v>
      </c>
      <c r="S36">
        <v>0.05</v>
      </c>
      <c r="T36">
        <f>LOOKUP(B36,Inlets!A:A,Inlets!V:V)</f>
        <v>1280.3499999999999</v>
      </c>
      <c r="U36">
        <f>LOOKUP(A36,Inlets!A:A,Inlets!V:V)</f>
        <v>1282.3699999999999</v>
      </c>
    </row>
    <row r="37" spans="1:21" x14ac:dyDescent="0.25">
      <c r="A37" t="s">
        <v>64</v>
      </c>
      <c r="B37" t="s">
        <v>61</v>
      </c>
      <c r="C37">
        <v>106</v>
      </c>
      <c r="D37">
        <v>0</v>
      </c>
      <c r="E37" t="s">
        <v>21</v>
      </c>
      <c r="F37">
        <f t="shared" si="0"/>
        <v>1.0537190082644627</v>
      </c>
      <c r="G37">
        <f t="shared" si="1"/>
        <v>0.1756198347107438</v>
      </c>
      <c r="H37">
        <v>0.8</v>
      </c>
      <c r="I37" t="s">
        <v>123</v>
      </c>
      <c r="J37">
        <f t="shared" si="2"/>
        <v>5.8309518948453007</v>
      </c>
      <c r="K37">
        <f>LOOKUP(B37,Inlets!A:A,Inlets!U:U)</f>
        <v>1274.1099999999999</v>
      </c>
      <c r="L37">
        <f t="shared" si="3"/>
        <v>5.0000000000018875E-3</v>
      </c>
      <c r="M37">
        <f>LOOKUP(A37,Inlets!A:A,Inlets!U:U)</f>
        <v>1274.6400000000001</v>
      </c>
      <c r="N37">
        <v>36</v>
      </c>
      <c r="O37" t="s">
        <v>111</v>
      </c>
      <c r="P37">
        <v>59</v>
      </c>
      <c r="Q37">
        <v>1</v>
      </c>
      <c r="R37">
        <v>1.2999999999999999E-2</v>
      </c>
      <c r="S37">
        <v>0.05</v>
      </c>
      <c r="T37">
        <f>LOOKUP(B37,Inlets!A:A,Inlets!V:V)</f>
        <v>1280.81</v>
      </c>
      <c r="U37">
        <f>LOOKUP(A37,Inlets!A:A,Inlets!V:V)</f>
        <v>1281.18</v>
      </c>
    </row>
    <row r="38" spans="1:21" x14ac:dyDescent="0.25">
      <c r="A38" t="s">
        <v>65</v>
      </c>
      <c r="B38" t="s">
        <v>64</v>
      </c>
      <c r="C38">
        <v>47</v>
      </c>
      <c r="D38">
        <v>0</v>
      </c>
      <c r="E38" t="s">
        <v>29</v>
      </c>
      <c r="F38">
        <f t="shared" si="0"/>
        <v>0.52685950413223137</v>
      </c>
      <c r="G38">
        <f t="shared" si="1"/>
        <v>8.78099173553719E-2</v>
      </c>
      <c r="H38">
        <v>0.8</v>
      </c>
      <c r="I38" t="s">
        <v>123</v>
      </c>
      <c r="J38">
        <f t="shared" si="2"/>
        <v>5</v>
      </c>
      <c r="K38">
        <f>LOOKUP(B38,Inlets!A:A,Inlets!U:U)</f>
        <v>1274.6400000000001</v>
      </c>
      <c r="L38">
        <f t="shared" si="3"/>
        <v>4.4680851063827853E-2</v>
      </c>
      <c r="M38">
        <f>LOOKUP(A38,Inlets!A:A,Inlets!U:U)</f>
        <v>1276.74</v>
      </c>
      <c r="N38">
        <v>18</v>
      </c>
      <c r="O38" t="s">
        <v>22</v>
      </c>
      <c r="P38">
        <f t="shared" si="4"/>
        <v>18</v>
      </c>
      <c r="Q38">
        <v>1</v>
      </c>
      <c r="R38">
        <v>1.2999999999999999E-2</v>
      </c>
      <c r="S38">
        <v>0.05</v>
      </c>
      <c r="T38">
        <f>LOOKUP(B38,Inlets!A:A,Inlets!V:V)</f>
        <v>1281.18</v>
      </c>
      <c r="U38">
        <f>LOOKUP(A38,Inlets!A:A,Inlets!V:V)</f>
        <v>1283</v>
      </c>
    </row>
    <row r="39" spans="1:21" x14ac:dyDescent="0.25">
      <c r="A39" t="s">
        <v>66</v>
      </c>
      <c r="B39" t="s">
        <v>60</v>
      </c>
      <c r="C39">
        <v>194</v>
      </c>
      <c r="D39">
        <v>0</v>
      </c>
      <c r="E39" t="s">
        <v>21</v>
      </c>
      <c r="F39">
        <f t="shared" si="0"/>
        <v>2.0144628099173558</v>
      </c>
      <c r="G39">
        <f t="shared" si="1"/>
        <v>0.33574380165289258</v>
      </c>
      <c r="H39">
        <v>0.8</v>
      </c>
      <c r="I39" t="s">
        <v>123</v>
      </c>
      <c r="J39">
        <f t="shared" si="2"/>
        <v>8.0622577482985509</v>
      </c>
      <c r="K39">
        <f>LOOKUP(B39,Inlets!A:A,Inlets!U:U)</f>
        <v>1275.75</v>
      </c>
      <c r="L39">
        <f t="shared" si="3"/>
        <v>1.8814432989691189E-2</v>
      </c>
      <c r="M39">
        <f>LOOKUP(A39,Inlets!A:A,Inlets!U:U)</f>
        <v>1279.4000000000001</v>
      </c>
      <c r="N39">
        <v>18</v>
      </c>
      <c r="O39" t="s">
        <v>22</v>
      </c>
      <c r="P39">
        <f t="shared" si="4"/>
        <v>18</v>
      </c>
      <c r="Q39">
        <v>1</v>
      </c>
      <c r="R39">
        <v>1.2999999999999999E-2</v>
      </c>
      <c r="S39">
        <v>0.05</v>
      </c>
      <c r="T39">
        <f>LOOKUP(B39,Inlets!A:A,Inlets!V:V)</f>
        <v>1280.02</v>
      </c>
      <c r="U39">
        <f>LOOKUP(A39,Inlets!A:A,Inlets!V:V)</f>
        <v>1284.82</v>
      </c>
    </row>
    <row r="40" spans="1:21" x14ac:dyDescent="0.25">
      <c r="A40" t="s">
        <v>67</v>
      </c>
      <c r="B40" t="s">
        <v>65</v>
      </c>
      <c r="C40">
        <v>56</v>
      </c>
      <c r="D40">
        <v>0</v>
      </c>
      <c r="E40" t="s">
        <v>21</v>
      </c>
      <c r="F40">
        <f t="shared" si="0"/>
        <v>0.50619834710743816</v>
      </c>
      <c r="G40">
        <f t="shared" si="1"/>
        <v>8.4366391184573009E-2</v>
      </c>
      <c r="H40">
        <v>0.8</v>
      </c>
      <c r="I40" t="s">
        <v>123</v>
      </c>
      <c r="J40">
        <f t="shared" si="2"/>
        <v>5</v>
      </c>
      <c r="K40">
        <f>LOOKUP(B40,Inlets!A:A,Inlets!U:U)</f>
        <v>1276.74</v>
      </c>
      <c r="L40">
        <f t="shared" si="3"/>
        <v>3.5714285714285712E-2</v>
      </c>
      <c r="M40">
        <f>LOOKUP(A40,Inlets!A:A,Inlets!U:U)</f>
        <v>1278.74</v>
      </c>
      <c r="N40">
        <v>18</v>
      </c>
      <c r="O40" t="s">
        <v>22</v>
      </c>
      <c r="P40">
        <f t="shared" si="4"/>
        <v>18</v>
      </c>
      <c r="Q40">
        <v>1</v>
      </c>
      <c r="R40">
        <v>1.2999999999999999E-2</v>
      </c>
      <c r="S40">
        <v>0.05</v>
      </c>
      <c r="T40">
        <f>LOOKUP(B40,Inlets!A:A,Inlets!V:V)</f>
        <v>1283</v>
      </c>
      <c r="U40">
        <f>LOOKUP(A40,Inlets!A:A,Inlets!V:V)</f>
        <v>1285.46</v>
      </c>
    </row>
    <row r="41" spans="1:21" x14ac:dyDescent="0.25">
      <c r="A41" t="s">
        <v>68</v>
      </c>
      <c r="B41" t="s">
        <v>66</v>
      </c>
      <c r="C41">
        <v>196</v>
      </c>
      <c r="D41">
        <v>0</v>
      </c>
      <c r="E41" t="s">
        <v>21</v>
      </c>
      <c r="F41">
        <f t="shared" si="0"/>
        <v>2.0661157024793386</v>
      </c>
      <c r="G41">
        <f t="shared" si="1"/>
        <v>0.34435261707988979</v>
      </c>
      <c r="H41">
        <v>0.8</v>
      </c>
      <c r="I41" t="s">
        <v>123</v>
      </c>
      <c r="J41">
        <f t="shared" si="2"/>
        <v>8.1649658092772608</v>
      </c>
      <c r="K41">
        <f>LOOKUP(B41,Inlets!A:A,Inlets!U:U)</f>
        <v>1279.4000000000001</v>
      </c>
      <c r="L41">
        <f t="shared" si="3"/>
        <v>3.8418367346938639E-2</v>
      </c>
      <c r="M41">
        <f>LOOKUP(A41,Inlets!A:A,Inlets!U:U)</f>
        <v>1286.93</v>
      </c>
      <c r="N41">
        <v>18</v>
      </c>
      <c r="O41" t="s">
        <v>22</v>
      </c>
      <c r="P41">
        <f t="shared" si="4"/>
        <v>18</v>
      </c>
      <c r="Q41">
        <v>1</v>
      </c>
      <c r="R41">
        <v>1.2999999999999999E-2</v>
      </c>
      <c r="S41">
        <v>0.05</v>
      </c>
      <c r="T41">
        <f>LOOKUP(B41,Inlets!A:A,Inlets!V:V)</f>
        <v>1284.82</v>
      </c>
      <c r="U41">
        <f>LOOKUP(A41,Inlets!A:A,Inlets!V:V)</f>
        <v>1291.1300000000001</v>
      </c>
    </row>
    <row r="42" spans="1:21" x14ac:dyDescent="0.25">
      <c r="A42" t="s">
        <v>69</v>
      </c>
      <c r="B42" t="s">
        <v>67</v>
      </c>
      <c r="C42">
        <v>196</v>
      </c>
      <c r="D42">
        <v>0</v>
      </c>
      <c r="E42" t="s">
        <v>21</v>
      </c>
      <c r="F42">
        <f t="shared" si="0"/>
        <v>2.0661157024793386</v>
      </c>
      <c r="G42">
        <f t="shared" si="1"/>
        <v>0.34435261707988979</v>
      </c>
      <c r="H42">
        <v>0.8</v>
      </c>
      <c r="I42" t="s">
        <v>123</v>
      </c>
      <c r="J42">
        <f t="shared" si="2"/>
        <v>8.1649658092772608</v>
      </c>
      <c r="K42">
        <f>LOOKUP(B42,Inlets!A:A,Inlets!U:U)</f>
        <v>1278.74</v>
      </c>
      <c r="L42">
        <f t="shared" si="3"/>
        <v>2.8112244897959136E-2</v>
      </c>
      <c r="M42">
        <f>LOOKUP(A42,Inlets!A:A,Inlets!U:U)</f>
        <v>1284.25</v>
      </c>
      <c r="N42">
        <v>18</v>
      </c>
      <c r="O42" t="s">
        <v>22</v>
      </c>
      <c r="P42">
        <f t="shared" si="4"/>
        <v>18</v>
      </c>
      <c r="Q42">
        <v>1</v>
      </c>
      <c r="R42">
        <v>1.2999999999999999E-2</v>
      </c>
      <c r="S42">
        <v>0.05</v>
      </c>
      <c r="T42">
        <f>LOOKUP(B42,Inlets!A:A,Inlets!V:V)</f>
        <v>1285.46</v>
      </c>
      <c r="U42">
        <f>LOOKUP(A42,Inlets!A:A,Inlets!V:V)</f>
        <v>1291.05</v>
      </c>
    </row>
    <row r="43" spans="1:21" x14ac:dyDescent="0.25">
      <c r="A43" t="s">
        <v>70</v>
      </c>
      <c r="B43" t="s">
        <v>114</v>
      </c>
      <c r="C43">
        <v>79</v>
      </c>
      <c r="D43">
        <v>0</v>
      </c>
      <c r="E43" t="s">
        <v>29</v>
      </c>
      <c r="F43">
        <f t="shared" si="0"/>
        <v>0.60000000000000009</v>
      </c>
      <c r="G43">
        <v>0.1</v>
      </c>
      <c r="H43">
        <v>0.8</v>
      </c>
      <c r="I43" t="s">
        <v>123</v>
      </c>
      <c r="J43">
        <f t="shared" si="2"/>
        <v>5</v>
      </c>
      <c r="K43">
        <f>LOOKUP(B43,Inlets!A:A,Inlets!U:U)</f>
        <v>1285.95</v>
      </c>
      <c r="L43">
        <f t="shared" si="3"/>
        <v>1.0379746835442231E-2</v>
      </c>
      <c r="M43">
        <f>LOOKUP(A43,Inlets!A:A,Inlets!U:U)</f>
        <v>1286.77</v>
      </c>
      <c r="N43">
        <v>18</v>
      </c>
      <c r="O43" t="s">
        <v>22</v>
      </c>
      <c r="P43">
        <f t="shared" si="4"/>
        <v>18</v>
      </c>
      <c r="Q43">
        <v>1</v>
      </c>
      <c r="R43">
        <v>1.2999999999999999E-2</v>
      </c>
      <c r="S43">
        <v>0.05</v>
      </c>
      <c r="T43">
        <f>LOOKUP(B43,Inlets!A:A,Inlets!V:V)</f>
        <v>1289.5</v>
      </c>
      <c r="U43">
        <f>LOOKUP(A43,Inlets!A:A,Inlets!V:V)</f>
        <v>1289.8</v>
      </c>
    </row>
    <row r="44" spans="1:21" x14ac:dyDescent="0.25">
      <c r="A44" t="s">
        <v>71</v>
      </c>
      <c r="B44" t="s">
        <v>68</v>
      </c>
      <c r="C44">
        <v>195</v>
      </c>
      <c r="D44">
        <v>0</v>
      </c>
      <c r="E44" t="s">
        <v>21</v>
      </c>
      <c r="F44">
        <f t="shared" si="0"/>
        <v>2.0661157024793386</v>
      </c>
      <c r="G44">
        <f t="shared" si="1"/>
        <v>0.34435261707988979</v>
      </c>
      <c r="H44">
        <v>0.8</v>
      </c>
      <c r="I44" t="s">
        <v>123</v>
      </c>
      <c r="J44">
        <f t="shared" si="2"/>
        <v>8.1649658092772608</v>
      </c>
      <c r="K44">
        <f>LOOKUP(B44,Inlets!A:A,Inlets!U:U)</f>
        <v>1286.93</v>
      </c>
      <c r="L44">
        <f t="shared" si="3"/>
        <v>1.0000000000000233E-2</v>
      </c>
      <c r="M44">
        <f>LOOKUP(A44,Inlets!A:A,Inlets!U:U)</f>
        <v>1288.8800000000001</v>
      </c>
      <c r="N44">
        <v>18</v>
      </c>
      <c r="O44" t="s">
        <v>22</v>
      </c>
      <c r="P44">
        <f t="shared" si="4"/>
        <v>18</v>
      </c>
      <c r="Q44">
        <v>1</v>
      </c>
      <c r="R44">
        <v>1.2999999999999999E-2</v>
      </c>
      <c r="S44">
        <v>0.05</v>
      </c>
      <c r="T44">
        <f>LOOKUP(B44,Inlets!A:A,Inlets!V:V)</f>
        <v>1291.1300000000001</v>
      </c>
      <c r="U44">
        <f>LOOKUP(A44,Inlets!A:A,Inlets!V:V)</f>
        <v>1292.57</v>
      </c>
    </row>
    <row r="45" spans="1:21" x14ac:dyDescent="0.25">
      <c r="A45" t="s">
        <v>72</v>
      </c>
      <c r="B45" t="s">
        <v>70</v>
      </c>
      <c r="C45">
        <v>55</v>
      </c>
      <c r="D45">
        <v>0</v>
      </c>
      <c r="E45" t="s">
        <v>21</v>
      </c>
      <c r="F45">
        <f t="shared" si="0"/>
        <v>0.51652892561983466</v>
      </c>
      <c r="G45">
        <f t="shared" si="1"/>
        <v>8.6088154269972447E-2</v>
      </c>
      <c r="H45">
        <v>0.8</v>
      </c>
      <c r="I45" t="s">
        <v>123</v>
      </c>
      <c r="J45">
        <f t="shared" si="2"/>
        <v>5</v>
      </c>
      <c r="K45">
        <f>LOOKUP(B45,Inlets!A:A,Inlets!U:U)</f>
        <v>1286.77</v>
      </c>
      <c r="L45">
        <f t="shared" si="3"/>
        <v>2.7636363636363306E-2</v>
      </c>
      <c r="M45">
        <f>LOOKUP(A45,Inlets!A:A,Inlets!U:U)</f>
        <v>1288.29</v>
      </c>
      <c r="N45">
        <v>18</v>
      </c>
      <c r="O45" t="s">
        <v>22</v>
      </c>
      <c r="P45">
        <f t="shared" si="4"/>
        <v>18</v>
      </c>
      <c r="Q45">
        <v>1</v>
      </c>
      <c r="R45">
        <v>1.2999999999999999E-2</v>
      </c>
      <c r="S45">
        <v>0.05</v>
      </c>
      <c r="T45">
        <f>LOOKUP(B45,Inlets!A:A,Inlets!V:V)</f>
        <v>1289.8</v>
      </c>
      <c r="U45">
        <f>LOOKUP(A45,Inlets!A:A,Inlets!V:V)</f>
        <v>1291.97</v>
      </c>
    </row>
    <row r="46" spans="1:21" x14ac:dyDescent="0.25">
      <c r="A46" t="s">
        <v>73</v>
      </c>
      <c r="B46" t="s">
        <v>110</v>
      </c>
      <c r="C46">
        <v>34</v>
      </c>
      <c r="D46">
        <v>0</v>
      </c>
      <c r="E46" t="s">
        <v>113</v>
      </c>
      <c r="F46">
        <f t="shared" si="0"/>
        <v>0.30000000000000004</v>
      </c>
      <c r="G46">
        <v>0.05</v>
      </c>
      <c r="H46">
        <v>0.8</v>
      </c>
      <c r="I46" t="s">
        <v>123</v>
      </c>
      <c r="J46">
        <f t="shared" si="2"/>
        <v>5</v>
      </c>
      <c r="K46">
        <v>1284</v>
      </c>
      <c r="L46">
        <f t="shared" si="3"/>
        <v>2.9411764705882353E-2</v>
      </c>
      <c r="M46">
        <f>LOOKUP(A46,Inlets!A:A,Inlets!U:U)</f>
        <v>1285</v>
      </c>
      <c r="N46">
        <v>60</v>
      </c>
      <c r="O46" t="s">
        <v>22</v>
      </c>
      <c r="P46">
        <f t="shared" si="4"/>
        <v>60</v>
      </c>
      <c r="Q46">
        <v>1</v>
      </c>
      <c r="R46">
        <v>1.2999999999999999E-2</v>
      </c>
      <c r="S46">
        <v>0.05</v>
      </c>
      <c r="T46">
        <f>LOOKUP(B46,Inlets!A:A,Inlets!V:V)</f>
        <v>1289</v>
      </c>
      <c r="U46">
        <f>LOOKUP(A46,Inlets!A:A,Inlets!V:V)</f>
        <v>1293</v>
      </c>
    </row>
    <row r="47" spans="1:21" x14ac:dyDescent="0.25">
      <c r="A47" t="s">
        <v>74</v>
      </c>
      <c r="B47" t="s">
        <v>75</v>
      </c>
      <c r="C47">
        <v>46</v>
      </c>
      <c r="D47">
        <v>0</v>
      </c>
      <c r="E47" t="s">
        <v>21</v>
      </c>
      <c r="F47">
        <f t="shared" si="0"/>
        <v>0.30000000000000004</v>
      </c>
      <c r="G47">
        <f t="shared" si="1"/>
        <v>0.05</v>
      </c>
      <c r="H47">
        <v>0.8</v>
      </c>
      <c r="I47" t="s">
        <v>123</v>
      </c>
      <c r="J47">
        <f t="shared" si="2"/>
        <v>5</v>
      </c>
      <c r="K47">
        <f>LOOKUP(B47,Inlets!A:A,Inlets!U:U)</f>
        <v>1286.47</v>
      </c>
      <c r="L47">
        <f t="shared" si="3"/>
        <v>1.1521739130434189E-2</v>
      </c>
      <c r="M47">
        <f>LOOKUP(A47,Inlets!A:A,Inlets!U:U)</f>
        <v>1287</v>
      </c>
      <c r="N47">
        <v>24</v>
      </c>
      <c r="O47" t="s">
        <v>111</v>
      </c>
      <c r="P47">
        <v>36</v>
      </c>
      <c r="Q47">
        <v>2</v>
      </c>
      <c r="R47">
        <v>1.2999999999999999E-2</v>
      </c>
      <c r="S47">
        <v>0.05</v>
      </c>
      <c r="T47">
        <f>LOOKUP(B47,Inlets!A:A,Inlets!V:V)</f>
        <v>1290.23</v>
      </c>
      <c r="U47">
        <f>LOOKUP(A47,Inlets!A:A,Inlets!V:V)</f>
        <v>1291</v>
      </c>
    </row>
    <row r="48" spans="1:21" x14ac:dyDescent="0.25">
      <c r="A48" t="s">
        <v>75</v>
      </c>
      <c r="B48" t="s">
        <v>76</v>
      </c>
      <c r="C48">
        <v>17</v>
      </c>
      <c r="D48">
        <v>0</v>
      </c>
      <c r="E48" t="s">
        <v>21</v>
      </c>
      <c r="F48">
        <f t="shared" si="0"/>
        <v>0.30000000000000004</v>
      </c>
      <c r="G48">
        <f t="shared" si="1"/>
        <v>0.05</v>
      </c>
      <c r="H48">
        <v>0.8</v>
      </c>
      <c r="I48" t="s">
        <v>123</v>
      </c>
      <c r="J48">
        <f t="shared" si="2"/>
        <v>5</v>
      </c>
      <c r="K48">
        <f>LOOKUP(B48,Inlets!A:A,Inlets!U:U)</f>
        <v>1286.33</v>
      </c>
      <c r="L48">
        <f t="shared" si="3"/>
        <v>8.2352941176529436E-3</v>
      </c>
      <c r="M48">
        <f>LOOKUP(A48,Inlets!A:A,Inlets!U:U)</f>
        <v>1286.47</v>
      </c>
      <c r="N48">
        <v>48</v>
      </c>
      <c r="O48" t="s">
        <v>22</v>
      </c>
      <c r="P48">
        <f t="shared" si="4"/>
        <v>48</v>
      </c>
      <c r="Q48">
        <v>1</v>
      </c>
      <c r="R48">
        <v>1.2999999999999999E-2</v>
      </c>
      <c r="S48">
        <v>0.05</v>
      </c>
      <c r="T48">
        <f>LOOKUP(B48,Inlets!A:A,Inlets!V:V)</f>
        <v>1292.48</v>
      </c>
      <c r="U48">
        <f>LOOKUP(A48,Inlets!A:A,Inlets!V:V)</f>
        <v>1290.23</v>
      </c>
    </row>
    <row r="49" spans="1:21" x14ac:dyDescent="0.25">
      <c r="A49" t="s">
        <v>76</v>
      </c>
      <c r="B49" t="s">
        <v>77</v>
      </c>
      <c r="C49">
        <v>66</v>
      </c>
      <c r="D49">
        <v>0</v>
      </c>
      <c r="E49" t="s">
        <v>21</v>
      </c>
      <c r="F49">
        <f t="shared" si="0"/>
        <v>0.30000000000000004</v>
      </c>
      <c r="G49">
        <f t="shared" si="1"/>
        <v>0.05</v>
      </c>
      <c r="H49">
        <v>0.8</v>
      </c>
      <c r="I49" t="s">
        <v>123</v>
      </c>
      <c r="J49">
        <f t="shared" si="2"/>
        <v>5</v>
      </c>
      <c r="K49">
        <f>LOOKUP(B49,Inlets!A:A,Inlets!U:U)</f>
        <v>1285.9000000000001</v>
      </c>
      <c r="L49">
        <f t="shared" si="3"/>
        <v>6.5151515151490348E-3</v>
      </c>
      <c r="M49">
        <f>LOOKUP(A49,Inlets!A:A,Inlets!U:U)</f>
        <v>1286.33</v>
      </c>
      <c r="N49">
        <v>45</v>
      </c>
      <c r="O49" t="s">
        <v>111</v>
      </c>
      <c r="P49">
        <v>73</v>
      </c>
      <c r="Q49">
        <v>1</v>
      </c>
      <c r="R49">
        <v>1.2999999999999999E-2</v>
      </c>
      <c r="S49">
        <v>0.05</v>
      </c>
      <c r="T49">
        <f>LOOKUP(B49,Inlets!A:A,Inlets!V:V)</f>
        <v>1292.6400000000001</v>
      </c>
      <c r="U49">
        <f>LOOKUP(A49,Inlets!A:A,Inlets!V:V)</f>
        <v>1292.48</v>
      </c>
    </row>
    <row r="50" spans="1:21" x14ac:dyDescent="0.25">
      <c r="A50" t="s">
        <v>77</v>
      </c>
      <c r="B50" t="s">
        <v>73</v>
      </c>
      <c r="C50">
        <v>109</v>
      </c>
      <c r="D50">
        <v>0</v>
      </c>
      <c r="E50" t="s">
        <v>21</v>
      </c>
      <c r="F50">
        <f t="shared" si="0"/>
        <v>1.1983471074380165</v>
      </c>
      <c r="G50">
        <f t="shared" si="1"/>
        <v>0.19972451790633608</v>
      </c>
      <c r="H50">
        <v>0.8</v>
      </c>
      <c r="I50" t="s">
        <v>123</v>
      </c>
      <c r="J50">
        <f t="shared" si="2"/>
        <v>6.2182527020592095</v>
      </c>
      <c r="K50">
        <f>LOOKUP(B50,Inlets!A:A,Inlets!U:U)</f>
        <v>1285</v>
      </c>
      <c r="L50">
        <f t="shared" si="3"/>
        <v>8.256880733945789E-3</v>
      </c>
      <c r="M50">
        <f>LOOKUP(A50,Inlets!A:A,Inlets!U:U)</f>
        <v>1285.9000000000001</v>
      </c>
      <c r="N50">
        <v>60</v>
      </c>
      <c r="O50" t="s">
        <v>22</v>
      </c>
      <c r="P50">
        <f t="shared" si="4"/>
        <v>60</v>
      </c>
      <c r="Q50">
        <v>1</v>
      </c>
      <c r="R50">
        <v>1.2999999999999999E-2</v>
      </c>
      <c r="S50">
        <v>0.05</v>
      </c>
      <c r="T50">
        <f>LOOKUP(B50,Inlets!A:A,Inlets!V:V)</f>
        <v>1293</v>
      </c>
      <c r="U50">
        <f>LOOKUP(A50,Inlets!A:A,Inlets!V:V)</f>
        <v>1292.6400000000001</v>
      </c>
    </row>
    <row r="51" spans="1:21" x14ac:dyDescent="0.25">
      <c r="A51" t="s">
        <v>78</v>
      </c>
      <c r="B51" t="s">
        <v>76</v>
      </c>
      <c r="C51">
        <v>98</v>
      </c>
      <c r="D51">
        <v>0</v>
      </c>
      <c r="E51" t="s">
        <v>21</v>
      </c>
      <c r="F51">
        <f t="shared" si="0"/>
        <v>1.0743801652892564</v>
      </c>
      <c r="G51">
        <f t="shared" si="1"/>
        <v>0.1790633608815427</v>
      </c>
      <c r="H51">
        <v>0.8</v>
      </c>
      <c r="I51" t="s">
        <v>123</v>
      </c>
      <c r="J51">
        <f t="shared" si="2"/>
        <v>5.8878405775518976</v>
      </c>
      <c r="K51">
        <f>LOOKUP(B51,Inlets!A:A,Inlets!U:U)</f>
        <v>1286.33</v>
      </c>
      <c r="L51">
        <f t="shared" si="3"/>
        <v>6.5306122448989803E-3</v>
      </c>
      <c r="M51">
        <f>LOOKUP(A51,Inlets!A:A,Inlets!U:U)</f>
        <v>1286.97</v>
      </c>
      <c r="N51">
        <v>36</v>
      </c>
      <c r="O51" t="s">
        <v>22</v>
      </c>
      <c r="P51">
        <f t="shared" si="4"/>
        <v>36</v>
      </c>
      <c r="Q51">
        <v>1</v>
      </c>
      <c r="R51">
        <v>1.2999999999999999E-2</v>
      </c>
      <c r="S51">
        <v>0.05</v>
      </c>
      <c r="T51">
        <f>LOOKUP(B51,Inlets!A:A,Inlets!V:V)</f>
        <v>1292.48</v>
      </c>
      <c r="U51">
        <f>LOOKUP(A51,Inlets!A:A,Inlets!V:V)</f>
        <v>1291.97</v>
      </c>
    </row>
    <row r="52" spans="1:21" x14ac:dyDescent="0.25">
      <c r="A52" t="s">
        <v>79</v>
      </c>
      <c r="B52" t="s">
        <v>77</v>
      </c>
      <c r="C52">
        <v>99</v>
      </c>
      <c r="D52">
        <v>0</v>
      </c>
      <c r="E52" t="s">
        <v>21</v>
      </c>
      <c r="F52">
        <f t="shared" si="0"/>
        <v>1.0743801652892564</v>
      </c>
      <c r="G52">
        <f t="shared" si="1"/>
        <v>0.1790633608815427</v>
      </c>
      <c r="H52">
        <v>0.8</v>
      </c>
      <c r="I52" t="s">
        <v>123</v>
      </c>
      <c r="J52">
        <f t="shared" si="2"/>
        <v>5.8878405775518976</v>
      </c>
      <c r="K52">
        <f>LOOKUP(B52,Inlets!A:A,Inlets!U:U)</f>
        <v>1285.9000000000001</v>
      </c>
      <c r="L52">
        <f t="shared" si="3"/>
        <v>1.9797979797977868E-2</v>
      </c>
      <c r="M52">
        <f>LOOKUP(A52,Inlets!A:A,Inlets!U:U)</f>
        <v>1287.8599999999999</v>
      </c>
      <c r="N52">
        <v>18</v>
      </c>
      <c r="O52" t="s">
        <v>22</v>
      </c>
      <c r="P52">
        <f t="shared" si="4"/>
        <v>18</v>
      </c>
      <c r="Q52">
        <v>1</v>
      </c>
      <c r="R52">
        <v>1.2999999999999999E-2</v>
      </c>
      <c r="S52">
        <v>0.05</v>
      </c>
      <c r="T52">
        <f>LOOKUP(B52,Inlets!A:A,Inlets!V:V)</f>
        <v>1292.6400000000001</v>
      </c>
      <c r="U52">
        <f>LOOKUP(A52,Inlets!A:A,Inlets!V:V)</f>
        <v>1292.08</v>
      </c>
    </row>
    <row r="53" spans="1:21" x14ac:dyDescent="0.25">
      <c r="A53" t="s">
        <v>80</v>
      </c>
      <c r="B53" t="s">
        <v>78</v>
      </c>
      <c r="C53">
        <v>5</v>
      </c>
      <c r="D53">
        <v>0</v>
      </c>
      <c r="E53" t="s">
        <v>21</v>
      </c>
      <c r="F53">
        <f t="shared" si="0"/>
        <v>0.30000000000000004</v>
      </c>
      <c r="G53">
        <f t="shared" si="1"/>
        <v>0.05</v>
      </c>
      <c r="H53">
        <v>0.8</v>
      </c>
      <c r="I53" t="s">
        <v>123</v>
      </c>
      <c r="J53">
        <f t="shared" si="2"/>
        <v>5</v>
      </c>
      <c r="K53">
        <f>LOOKUP(B53,Inlets!A:A,Inlets!U:U)</f>
        <v>1286.97</v>
      </c>
      <c r="L53">
        <f t="shared" si="3"/>
        <v>5.9999999999945427E-3</v>
      </c>
      <c r="M53">
        <f>LOOKUP(A53,Inlets!A:A,Inlets!U:U)</f>
        <v>1287</v>
      </c>
      <c r="N53">
        <v>36</v>
      </c>
      <c r="O53" t="s">
        <v>22</v>
      </c>
      <c r="P53">
        <f t="shared" si="4"/>
        <v>36</v>
      </c>
      <c r="Q53">
        <v>1</v>
      </c>
      <c r="R53">
        <v>1.2999999999999999E-2</v>
      </c>
      <c r="S53">
        <v>0.05</v>
      </c>
      <c r="T53">
        <f>LOOKUP(B53,Inlets!A:A,Inlets!V:V)</f>
        <v>1291.97</v>
      </c>
      <c r="U53">
        <f>LOOKUP(A53,Inlets!A:A,Inlets!V:V)</f>
        <v>1291.97</v>
      </c>
    </row>
    <row r="54" spans="1:21" x14ac:dyDescent="0.25">
      <c r="A54" t="s">
        <v>81</v>
      </c>
      <c r="B54" t="s">
        <v>79</v>
      </c>
      <c r="C54">
        <v>6</v>
      </c>
      <c r="D54">
        <v>0</v>
      </c>
      <c r="E54" t="s">
        <v>21</v>
      </c>
      <c r="F54">
        <f t="shared" si="0"/>
        <v>0.30000000000000004</v>
      </c>
      <c r="G54">
        <f t="shared" si="1"/>
        <v>0.05</v>
      </c>
      <c r="H54">
        <v>0.8</v>
      </c>
      <c r="I54" t="s">
        <v>123</v>
      </c>
      <c r="J54">
        <f t="shared" si="2"/>
        <v>5</v>
      </c>
      <c r="K54">
        <f>LOOKUP(B54,Inlets!A:A,Inlets!U:U)</f>
        <v>1287.8599999999999</v>
      </c>
      <c r="L54">
        <f t="shared" si="3"/>
        <v>4.5000000000034866E-2</v>
      </c>
      <c r="M54">
        <f>LOOKUP(A54,Inlets!A:A,Inlets!U:U)</f>
        <v>1288.1300000000001</v>
      </c>
      <c r="N54">
        <v>18</v>
      </c>
      <c r="O54" t="s">
        <v>22</v>
      </c>
      <c r="P54">
        <f t="shared" si="4"/>
        <v>18</v>
      </c>
      <c r="Q54">
        <v>1</v>
      </c>
      <c r="R54">
        <v>1.2999999999999999E-2</v>
      </c>
      <c r="S54">
        <v>0.05</v>
      </c>
      <c r="T54">
        <f>LOOKUP(B54,Inlets!A:A,Inlets!V:V)</f>
        <v>1292.08</v>
      </c>
      <c r="U54">
        <f>LOOKUP(A54,Inlets!A:A,Inlets!V:V)</f>
        <v>1292.07</v>
      </c>
    </row>
    <row r="55" spans="1:21" x14ac:dyDescent="0.25">
      <c r="A55" t="s">
        <v>82</v>
      </c>
      <c r="B55" t="s">
        <v>80</v>
      </c>
      <c r="C55">
        <v>5</v>
      </c>
      <c r="D55">
        <v>0</v>
      </c>
      <c r="E55" t="s">
        <v>21</v>
      </c>
      <c r="F55">
        <f t="shared" si="0"/>
        <v>0.30000000000000004</v>
      </c>
      <c r="G55">
        <f t="shared" si="1"/>
        <v>0.05</v>
      </c>
      <c r="H55">
        <v>0.8</v>
      </c>
      <c r="I55" t="s">
        <v>123</v>
      </c>
      <c r="J55">
        <f t="shared" si="2"/>
        <v>5</v>
      </c>
      <c r="K55">
        <f>LOOKUP(B55,Inlets!A:A,Inlets!U:U)</f>
        <v>1287</v>
      </c>
      <c r="L55">
        <f t="shared" si="3"/>
        <v>7.9999999999927247E-3</v>
      </c>
      <c r="M55">
        <f>LOOKUP(A55,Inlets!A:A,Inlets!U:U)</f>
        <v>1287.04</v>
      </c>
      <c r="N55">
        <v>36</v>
      </c>
      <c r="O55" t="s">
        <v>22</v>
      </c>
      <c r="P55">
        <f t="shared" si="4"/>
        <v>36</v>
      </c>
      <c r="Q55">
        <v>1</v>
      </c>
      <c r="R55">
        <v>1.2999999999999999E-2</v>
      </c>
      <c r="S55">
        <v>0.05</v>
      </c>
      <c r="T55">
        <f>LOOKUP(B55,Inlets!A:A,Inlets!V:V)</f>
        <v>1291.97</v>
      </c>
      <c r="U55">
        <f>LOOKUP(A55,Inlets!A:A,Inlets!V:V)</f>
        <v>1291.98</v>
      </c>
    </row>
    <row r="56" spans="1:21" x14ac:dyDescent="0.25">
      <c r="A56" t="s">
        <v>83</v>
      </c>
      <c r="B56" t="s">
        <v>81</v>
      </c>
      <c r="C56">
        <v>6</v>
      </c>
      <c r="D56">
        <v>0</v>
      </c>
      <c r="E56" t="s">
        <v>21</v>
      </c>
      <c r="F56">
        <f t="shared" si="0"/>
        <v>0.30000000000000004</v>
      </c>
      <c r="G56">
        <f t="shared" si="1"/>
        <v>0.05</v>
      </c>
      <c r="H56">
        <v>0.8</v>
      </c>
      <c r="I56" t="s">
        <v>123</v>
      </c>
      <c r="J56">
        <f t="shared" si="2"/>
        <v>5</v>
      </c>
      <c r="K56">
        <f>LOOKUP(B56,Inlets!A:A,Inlets!U:U)</f>
        <v>1288.1300000000001</v>
      </c>
      <c r="L56">
        <f t="shared" si="3"/>
        <v>4.4999999999996966E-2</v>
      </c>
      <c r="M56">
        <f>LOOKUP(A56,Inlets!A:A,Inlets!U:U)</f>
        <v>1288.4000000000001</v>
      </c>
      <c r="N56">
        <v>18</v>
      </c>
      <c r="O56" t="s">
        <v>22</v>
      </c>
      <c r="P56">
        <f t="shared" si="4"/>
        <v>18</v>
      </c>
      <c r="Q56">
        <v>1</v>
      </c>
      <c r="R56">
        <v>1.2999999999999999E-2</v>
      </c>
      <c r="S56">
        <v>0.05</v>
      </c>
      <c r="T56">
        <f>LOOKUP(B56,Inlets!A:A,Inlets!V:V)</f>
        <v>1292.07</v>
      </c>
      <c r="U56">
        <f>LOOKUP(A56,Inlets!A:A,Inlets!V:V)</f>
        <v>1292.07</v>
      </c>
    </row>
    <row r="57" spans="1:21" x14ac:dyDescent="0.25">
      <c r="A57" t="s">
        <v>84</v>
      </c>
      <c r="B57" t="s">
        <v>85</v>
      </c>
      <c r="C57">
        <v>62</v>
      </c>
      <c r="D57">
        <v>0</v>
      </c>
      <c r="E57" t="s">
        <v>21</v>
      </c>
      <c r="F57">
        <f t="shared" si="0"/>
        <v>0.30000000000000004</v>
      </c>
      <c r="G57">
        <f t="shared" si="1"/>
        <v>0.05</v>
      </c>
      <c r="H57">
        <v>0.8</v>
      </c>
      <c r="I57" t="s">
        <v>123</v>
      </c>
      <c r="J57">
        <f t="shared" si="2"/>
        <v>5</v>
      </c>
      <c r="K57">
        <f>LOOKUP(B57,Inlets!A:A,Inlets!U:U)</f>
        <v>1287.49</v>
      </c>
      <c r="L57">
        <f t="shared" si="3"/>
        <v>1.8064516129030497E-2</v>
      </c>
      <c r="M57">
        <f>LOOKUP(A57,Inlets!A:A,Inlets!U:U)</f>
        <v>1288.6099999999999</v>
      </c>
      <c r="N57">
        <v>18</v>
      </c>
      <c r="O57" t="s">
        <v>22</v>
      </c>
      <c r="P57">
        <f t="shared" si="4"/>
        <v>18</v>
      </c>
      <c r="Q57">
        <v>1</v>
      </c>
      <c r="R57">
        <v>1.2999999999999999E-2</v>
      </c>
      <c r="S57">
        <v>0.05</v>
      </c>
      <c r="T57">
        <f>LOOKUP(B57,Inlets!A:A,Inlets!V:V)</f>
        <v>1292.32</v>
      </c>
      <c r="U57">
        <f>LOOKUP(A57,Inlets!A:A,Inlets!V:V)</f>
        <v>1292.3699999999999</v>
      </c>
    </row>
    <row r="58" spans="1:21" x14ac:dyDescent="0.25">
      <c r="A58" t="s">
        <v>85</v>
      </c>
      <c r="B58" t="s">
        <v>82</v>
      </c>
      <c r="C58">
        <v>73</v>
      </c>
      <c r="D58">
        <v>0</v>
      </c>
      <c r="E58" t="s">
        <v>21</v>
      </c>
      <c r="F58">
        <f t="shared" si="0"/>
        <v>0.80578512396694224</v>
      </c>
      <c r="G58">
        <f t="shared" si="1"/>
        <v>0.13429752066115702</v>
      </c>
      <c r="H58">
        <v>0.8</v>
      </c>
      <c r="I58" t="s">
        <v>123</v>
      </c>
      <c r="J58">
        <f t="shared" si="2"/>
        <v>5.0990195135927845</v>
      </c>
      <c r="K58">
        <f>LOOKUP(B58,Inlets!A:A,Inlets!U:U)</f>
        <v>1287.04</v>
      </c>
      <c r="L58">
        <f t="shared" si="3"/>
        <v>6.1643835616444582E-3</v>
      </c>
      <c r="M58">
        <f>LOOKUP(A58,Inlets!A:A,Inlets!U:U)</f>
        <v>1287.49</v>
      </c>
      <c r="N58">
        <v>36</v>
      </c>
      <c r="O58" t="s">
        <v>22</v>
      </c>
      <c r="P58">
        <f t="shared" si="4"/>
        <v>36</v>
      </c>
      <c r="Q58">
        <v>1</v>
      </c>
      <c r="R58">
        <v>1.2999999999999999E-2</v>
      </c>
      <c r="S58">
        <v>0.05</v>
      </c>
      <c r="T58">
        <f>LOOKUP(B58,Inlets!A:A,Inlets!V:V)</f>
        <v>1291.98</v>
      </c>
      <c r="U58">
        <f>LOOKUP(A58,Inlets!A:A,Inlets!V:V)</f>
        <v>1292.32</v>
      </c>
    </row>
    <row r="59" spans="1:21" x14ac:dyDescent="0.25">
      <c r="A59" t="s">
        <v>86</v>
      </c>
      <c r="B59" t="s">
        <v>85</v>
      </c>
      <c r="C59">
        <v>70</v>
      </c>
      <c r="D59">
        <v>0</v>
      </c>
      <c r="E59" t="s">
        <v>21</v>
      </c>
      <c r="F59">
        <f t="shared" si="0"/>
        <v>0.75413223140495877</v>
      </c>
      <c r="G59">
        <f t="shared" si="1"/>
        <v>0.12568870523415979</v>
      </c>
      <c r="H59">
        <v>0.8</v>
      </c>
      <c r="I59" t="s">
        <v>123</v>
      </c>
      <c r="J59">
        <f t="shared" si="2"/>
        <v>5</v>
      </c>
      <c r="K59">
        <f>LOOKUP(B59,Inlets!A:A,Inlets!U:U)</f>
        <v>1287.49</v>
      </c>
      <c r="L59">
        <f t="shared" si="3"/>
        <v>7.2857142857141559E-3</v>
      </c>
      <c r="M59">
        <f>LOOKUP(A59,Inlets!A:A,Inlets!U:U)</f>
        <v>1288</v>
      </c>
      <c r="N59">
        <v>36</v>
      </c>
      <c r="O59" t="s">
        <v>22</v>
      </c>
      <c r="P59">
        <f t="shared" si="4"/>
        <v>36</v>
      </c>
      <c r="Q59">
        <v>1</v>
      </c>
      <c r="R59">
        <v>1.2999999999999999E-2</v>
      </c>
      <c r="S59">
        <v>0.05</v>
      </c>
      <c r="T59">
        <f>LOOKUP(B59,Inlets!A:A,Inlets!V:V)</f>
        <v>1292.32</v>
      </c>
      <c r="U59">
        <f>LOOKUP(A59,Inlets!A:A,Inlets!V:V)</f>
        <v>1293</v>
      </c>
    </row>
    <row r="60" spans="1:21" x14ac:dyDescent="0.25">
      <c r="A60" t="s">
        <v>87</v>
      </c>
      <c r="B60" t="s">
        <v>88</v>
      </c>
      <c r="C60">
        <v>19</v>
      </c>
      <c r="D60">
        <v>0</v>
      </c>
      <c r="E60" t="s">
        <v>21</v>
      </c>
      <c r="F60">
        <f t="shared" si="0"/>
        <v>0.30000000000000004</v>
      </c>
      <c r="G60">
        <f t="shared" si="1"/>
        <v>0.05</v>
      </c>
      <c r="H60">
        <v>0.8</v>
      </c>
      <c r="I60" t="s">
        <v>123</v>
      </c>
      <c r="J60">
        <f t="shared" si="2"/>
        <v>5</v>
      </c>
      <c r="K60">
        <f>LOOKUP(B60,Inlets!A:A,Inlets!U:U)</f>
        <v>1286.8699999999999</v>
      </c>
      <c r="L60">
        <f t="shared" si="3"/>
        <v>5.263157894744022E-3</v>
      </c>
      <c r="M60">
        <f>LOOKUP(A60,Inlets!A:A,Inlets!U:U)</f>
        <v>1286.97</v>
      </c>
      <c r="N60">
        <v>18</v>
      </c>
      <c r="O60" t="s">
        <v>22</v>
      </c>
      <c r="P60">
        <f t="shared" si="4"/>
        <v>18</v>
      </c>
      <c r="Q60">
        <v>1</v>
      </c>
      <c r="R60">
        <v>1.2999999999999999E-2</v>
      </c>
      <c r="S60">
        <v>0.05</v>
      </c>
      <c r="T60">
        <f>LOOKUP(B60,Inlets!A:A,Inlets!V:V)</f>
        <v>1290.3800000000001</v>
      </c>
      <c r="U60">
        <f>LOOKUP(A60,Inlets!A:A,Inlets!V:V)</f>
        <v>1290.53</v>
      </c>
    </row>
    <row r="61" spans="1:21" x14ac:dyDescent="0.25">
      <c r="A61" t="s">
        <v>88</v>
      </c>
      <c r="B61" t="s">
        <v>89</v>
      </c>
      <c r="C61">
        <v>6</v>
      </c>
      <c r="D61">
        <v>0</v>
      </c>
      <c r="E61" t="s">
        <v>21</v>
      </c>
      <c r="F61">
        <f t="shared" si="0"/>
        <v>0.30000000000000004</v>
      </c>
      <c r="G61">
        <f t="shared" si="1"/>
        <v>0.05</v>
      </c>
      <c r="H61">
        <v>0.8</v>
      </c>
      <c r="I61" t="s">
        <v>123</v>
      </c>
      <c r="J61">
        <f t="shared" si="2"/>
        <v>5</v>
      </c>
      <c r="K61">
        <f>LOOKUP(B61,Inlets!A:A,Inlets!U:U)</f>
        <v>1285.8399999999999</v>
      </c>
      <c r="L61">
        <f t="shared" si="3"/>
        <v>0.17166666666666211</v>
      </c>
      <c r="M61">
        <f>LOOKUP(A61,Inlets!A:A,Inlets!U:U)</f>
        <v>1286.8699999999999</v>
      </c>
      <c r="N61">
        <v>18</v>
      </c>
      <c r="O61" t="s">
        <v>22</v>
      </c>
      <c r="P61">
        <f t="shared" si="4"/>
        <v>18</v>
      </c>
      <c r="Q61">
        <v>1</v>
      </c>
      <c r="R61">
        <v>1.2999999999999999E-2</v>
      </c>
      <c r="S61">
        <v>0.05</v>
      </c>
      <c r="T61">
        <f>LOOKUP(B61,Inlets!A:A,Inlets!V:V)</f>
        <v>1290.3900000000001</v>
      </c>
      <c r="U61">
        <f>LOOKUP(A61,Inlets!A:A,Inlets!V:V)</f>
        <v>1290.3800000000001</v>
      </c>
    </row>
    <row r="62" spans="1:21" x14ac:dyDescent="0.25">
      <c r="A62" t="s">
        <v>89</v>
      </c>
      <c r="B62" t="s">
        <v>91</v>
      </c>
      <c r="C62">
        <v>35</v>
      </c>
      <c r="D62">
        <v>0</v>
      </c>
      <c r="E62" t="s">
        <v>21</v>
      </c>
      <c r="F62">
        <f t="shared" si="0"/>
        <v>0.30000000000000004</v>
      </c>
      <c r="G62">
        <f t="shared" si="1"/>
        <v>0.05</v>
      </c>
      <c r="H62">
        <v>0.8</v>
      </c>
      <c r="I62" t="s">
        <v>123</v>
      </c>
      <c r="J62">
        <f t="shared" si="2"/>
        <v>5</v>
      </c>
      <c r="K62">
        <f>LOOKUP(B62,Inlets!A:A,Inlets!U:U)</f>
        <v>1285.4100000000001</v>
      </c>
      <c r="L62">
        <f t="shared" si="3"/>
        <v>1.2285714285709608E-2</v>
      </c>
      <c r="M62">
        <f>LOOKUP(A62,Inlets!A:A,Inlets!U:U)</f>
        <v>1285.8399999999999</v>
      </c>
      <c r="N62">
        <v>18</v>
      </c>
      <c r="O62" t="s">
        <v>22</v>
      </c>
      <c r="P62">
        <f t="shared" si="4"/>
        <v>18</v>
      </c>
      <c r="Q62">
        <v>1</v>
      </c>
      <c r="R62">
        <v>1.2999999999999999E-2</v>
      </c>
      <c r="S62">
        <v>0.05</v>
      </c>
      <c r="T62">
        <f>LOOKUP(B62,Inlets!A:A,Inlets!V:V)</f>
        <v>1289</v>
      </c>
      <c r="U62">
        <f>LOOKUP(A62,Inlets!A:A,Inlets!V:V)</f>
        <v>1290.3900000000001</v>
      </c>
    </row>
    <row r="63" spans="1:21" x14ac:dyDescent="0.25">
      <c r="A63" t="s">
        <v>90</v>
      </c>
      <c r="B63" t="s">
        <v>89</v>
      </c>
      <c r="C63">
        <v>9</v>
      </c>
      <c r="D63">
        <v>0</v>
      </c>
      <c r="E63" t="s">
        <v>29</v>
      </c>
      <c r="F63">
        <f t="shared" si="0"/>
        <v>0.30000000000000004</v>
      </c>
      <c r="G63">
        <f t="shared" si="1"/>
        <v>0.05</v>
      </c>
      <c r="H63">
        <v>0.8</v>
      </c>
      <c r="I63" t="s">
        <v>123</v>
      </c>
      <c r="J63">
        <f t="shared" si="2"/>
        <v>5</v>
      </c>
      <c r="K63">
        <f>LOOKUP(B63,Inlets!A:A,Inlets!U:U)</f>
        <v>1285.8399999999999</v>
      </c>
      <c r="L63">
        <f t="shared" si="3"/>
        <v>1.222222222223637E-2</v>
      </c>
      <c r="M63">
        <f>LOOKUP(A63,Inlets!A:A,Inlets!U:U)</f>
        <v>1285.95</v>
      </c>
      <c r="N63">
        <v>18</v>
      </c>
      <c r="O63" t="s">
        <v>22</v>
      </c>
      <c r="P63">
        <f t="shared" si="4"/>
        <v>18</v>
      </c>
      <c r="Q63">
        <v>1</v>
      </c>
      <c r="R63">
        <v>1.2999999999999999E-2</v>
      </c>
      <c r="S63">
        <v>0.05</v>
      </c>
      <c r="T63">
        <f>LOOKUP(B63,Inlets!A:A,Inlets!V:V)</f>
        <v>1290.3900000000001</v>
      </c>
      <c r="U63">
        <f>LOOKUP(A63,Inlets!A:A,Inlets!V:V)</f>
        <v>1289.5</v>
      </c>
    </row>
    <row r="64" spans="1:21" x14ac:dyDescent="0.25">
      <c r="A64" t="s">
        <v>91</v>
      </c>
      <c r="B64" t="s">
        <v>69</v>
      </c>
      <c r="C64">
        <v>46</v>
      </c>
      <c r="D64">
        <v>0</v>
      </c>
      <c r="E64" t="s">
        <v>29</v>
      </c>
      <c r="F64">
        <f t="shared" si="0"/>
        <v>0.60000000000000009</v>
      </c>
      <c r="G64">
        <v>0.1</v>
      </c>
      <c r="H64">
        <v>0.8</v>
      </c>
      <c r="I64" t="s">
        <v>123</v>
      </c>
      <c r="J64">
        <f t="shared" si="2"/>
        <v>5</v>
      </c>
      <c r="K64">
        <f>LOOKUP(B64,Inlets!A:A,Inlets!U:U)</f>
        <v>1284.25</v>
      </c>
      <c r="L64">
        <f t="shared" si="3"/>
        <v>2.5217391304349607E-2</v>
      </c>
      <c r="M64">
        <f>LOOKUP(A64,Inlets!A:A,Inlets!U:U)</f>
        <v>1285.4100000000001</v>
      </c>
      <c r="N64">
        <v>18</v>
      </c>
      <c r="O64" t="s">
        <v>22</v>
      </c>
      <c r="P64">
        <f t="shared" si="4"/>
        <v>18</v>
      </c>
      <c r="Q64">
        <v>1</v>
      </c>
      <c r="R64">
        <v>1.2999999999999999E-2</v>
      </c>
      <c r="S64">
        <v>0.05</v>
      </c>
      <c r="T64">
        <f>LOOKUP(B64,Inlets!A:A,Inlets!V:V)</f>
        <v>1291.05</v>
      </c>
      <c r="U64">
        <f>LOOKUP(A64,Inlets!A:A,Inlets!V:V)</f>
        <v>1289</v>
      </c>
    </row>
  </sheetData>
  <autoFilter ref="A1:U64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Inlets</vt:lpstr>
      <vt:lpstr>Pipes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Kreimeyer, Samuel</dc:creator>
  <dc:description/>
  <cp:lastModifiedBy>Kreimeyer, Samuel</cp:lastModifiedBy>
  <cp:revision>4</cp:revision>
  <dcterms:created xsi:type="dcterms:W3CDTF">2022-10-17T06:24:50Z</dcterms:created>
  <dcterms:modified xsi:type="dcterms:W3CDTF">2025-12-31T00:19:09Z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ActionId">
    <vt:lpwstr>2c32a4de-7730-4d3f-82db-3c8a661a93c3</vt:lpwstr>
  </property>
  <property fmtid="{D5CDD505-2E9C-101B-9397-08002B2CF9AE}" pid="3" name="MSIP_Label_7d95f39c-8218-4425-a791-63c9e13c8708_ContentBits">
    <vt:lpwstr>0</vt:lpwstr>
  </property>
  <property fmtid="{D5CDD505-2E9C-101B-9397-08002B2CF9AE}" pid="4" name="MSIP_Label_7d95f39c-8218-4425-a791-63c9e13c8708_Enabled">
    <vt:lpwstr>true</vt:lpwstr>
  </property>
  <property fmtid="{D5CDD505-2E9C-101B-9397-08002B2CF9AE}" pid="5" name="MSIP_Label_7d95f39c-8218-4425-a791-63c9e13c8708_Method">
    <vt:lpwstr>Privileged</vt:lpwstr>
  </property>
  <property fmtid="{D5CDD505-2E9C-101B-9397-08002B2CF9AE}" pid="6" name="MSIP_Label_7d95f39c-8218-4425-a791-63c9e13c8708_Name">
    <vt:lpwstr>7d95f39c-8218-4425-a791-63c9e13c8708</vt:lpwstr>
  </property>
  <property fmtid="{D5CDD505-2E9C-101B-9397-08002B2CF9AE}" pid="7" name="MSIP_Label_7d95f39c-8218-4425-a791-63c9e13c8708_SetDate">
    <vt:lpwstr>2025-12-23T19:50:52Z</vt:lpwstr>
  </property>
  <property fmtid="{D5CDD505-2E9C-101B-9397-08002B2CF9AE}" pid="8" name="MSIP_Label_7d95f39c-8218-4425-a791-63c9e13c8708_SiteId">
    <vt:lpwstr>37247798-f42c-42fd-8a37-d49c7128d36b</vt:lpwstr>
  </property>
  <property fmtid="{D5CDD505-2E9C-101B-9397-08002B2CF9AE}" pid="9" name="MSIP_Label_7d95f39c-8218-4425-a791-63c9e13c8708_Tag">
    <vt:lpwstr>10, 0, 1, 1</vt:lpwstr>
  </property>
</Properties>
</file>